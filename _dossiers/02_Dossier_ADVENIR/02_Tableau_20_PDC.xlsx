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PDC — ADVEN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263238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3" fontId="8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1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7" customWidth="1" min="4" max="4"/>
    <col width="28" customWidth="1" min="5" max="5"/>
    <col width="10" customWidth="1" min="6" max="6"/>
    <col width="20" customWidth="1" min="7" max="7"/>
    <col width="12" customWidth="1" min="8" max="8"/>
    <col width="11" customWidth="1" min="9" max="9"/>
    <col width="8" customWidth="1" min="10" max="10"/>
    <col width="7" customWidth="1" min="11" max="11"/>
    <col width="7" customWidth="1" min="12" max="12"/>
    <col width="13" customWidth="1" min="13" max="13"/>
    <col width="13" customWidth="1" min="14" max="14"/>
    <col width="22" customWidth="1" min="15" max="15"/>
  </cols>
  <sheetData>
    <row r="1" ht="28" customHeight="1">
      <c r="A1" s="1" t="inlineStr">
        <is>
          <t>EGREENCITY'S — TABLEAU DES 20 POINTS DE CHARGE (PDC)</t>
        </is>
      </c>
    </row>
    <row r="2" ht="20" customHeight="1">
      <c r="A2" s="2" t="inlineStr">
        <is>
          <t>Programme ADVENIR — Voirie publique — Guyane francaise — 10 x e-Premium AC 2x22 kW</t>
        </is>
      </c>
    </row>
    <row r="3" ht="16" customHeight="1">
      <c r="A3" s="3" t="inlineStr">
        <is>
          <t>SIREN 878 682 854  |  10 stations  |  20 PDC  |  440 kW  |  Prime totale : 37 200 EUR</t>
        </is>
      </c>
    </row>
    <row r="4" ht="36" customHeight="1">
      <c r="A4" s="4" t="inlineStr">
        <is>
          <t>N° PDC</t>
        </is>
      </c>
      <c r="B4" s="4" t="inlineStr">
        <is>
          <t>N° Stat.</t>
        </is>
      </c>
      <c r="C4" s="4" t="inlineStr">
        <is>
          <t>Réf. Station</t>
        </is>
      </c>
      <c r="D4" s="4" t="inlineStr">
        <is>
          <t>Commune</t>
        </is>
      </c>
      <c r="E4" s="4" t="inlineStr">
        <is>
          <t>Adresse / Site proposé</t>
        </is>
      </c>
      <c r="F4" s="4" t="inlineStr">
        <is>
          <t>Type IRVE</t>
        </is>
      </c>
      <c r="G4" s="4" t="inlineStr">
        <is>
          <t>Modèle borne</t>
        </is>
      </c>
      <c r="H4" s="4" t="inlineStr">
        <is>
          <t>Connecteur</t>
        </is>
      </c>
      <c r="I4" s="4" t="inlineStr">
        <is>
          <t>Puiss.
PDC (kW)</t>
        </is>
      </c>
      <c r="J4" s="4" t="inlineStr">
        <is>
          <t>Accès
24/7</t>
        </is>
      </c>
      <c r="K4" s="4" t="inlineStr">
        <is>
          <t>Auth.
RFID</t>
        </is>
      </c>
      <c r="L4" s="4" t="inlineStr">
        <is>
          <t>OCPP
1.6J</t>
        </is>
      </c>
      <c r="M4" s="4" t="inlineStr">
        <is>
          <t>Prime
ADVENIR (€)</t>
        </is>
      </c>
      <c r="N4" s="4" t="inlineStr">
        <is>
          <t>Prix HT
borne (€)</t>
        </is>
      </c>
      <c r="O4" s="4" t="inlineStr">
        <is>
          <t>Observations</t>
        </is>
      </c>
    </row>
    <row r="5" ht="16" customHeight="1">
      <c r="A5" s="5" t="n">
        <v>1</v>
      </c>
      <c r="B5" s="6" t="n">
        <v>1</v>
      </c>
      <c r="C5" s="6" t="inlineStr">
        <is>
          <t>S01-CAY-CTR</t>
        </is>
      </c>
      <c r="D5" s="7" t="inlineStr">
        <is>
          <t>Cayenne</t>
        </is>
      </c>
      <c r="E5" s="7" t="inlineStr">
        <is>
          <t>Place des Palmistes</t>
        </is>
      </c>
      <c r="F5" s="6" t="inlineStr">
        <is>
          <t>AC</t>
        </is>
      </c>
      <c r="G5" s="6" t="inlineStr">
        <is>
          <t>e-Premium AC 2x22 kW</t>
        </is>
      </c>
      <c r="H5" s="6" t="inlineStr">
        <is>
          <t>Type 2 / Prise E</t>
        </is>
      </c>
      <c r="I5" s="6" t="n">
        <v>22</v>
      </c>
      <c r="J5" s="6" t="inlineStr">
        <is>
          <t>Oui</t>
        </is>
      </c>
      <c r="K5" s="6" t="inlineStr">
        <is>
          <t>Oui</t>
        </is>
      </c>
      <c r="L5" s="6" t="inlineStr">
        <is>
          <t>Oui</t>
        </is>
      </c>
      <c r="M5" s="8" t="n">
        <v>1860</v>
      </c>
      <c r="N5" s="9" t="n">
        <v>4948</v>
      </c>
      <c r="O5" s="7" t="inlineStr">
        <is>
          <t>Centre historique — fort trafic pieton</t>
        </is>
      </c>
    </row>
    <row r="6" ht="16" customHeight="1">
      <c r="A6" s="5" t="n">
        <v>2</v>
      </c>
      <c r="B6" s="6" t="n">
        <v>1</v>
      </c>
      <c r="C6" s="6" t="inlineStr">
        <is>
          <t>S01-CAY-CTR</t>
        </is>
      </c>
      <c r="D6" s="7" t="inlineStr">
        <is>
          <t>Cayenne</t>
        </is>
      </c>
      <c r="E6" s="7" t="inlineStr">
        <is>
          <t>Place des Palmistes</t>
        </is>
      </c>
      <c r="F6" s="6" t="inlineStr">
        <is>
          <t>AC</t>
        </is>
      </c>
      <c r="G6" s="6" t="inlineStr">
        <is>
          <t>e-Premium AC 2x22 kW</t>
        </is>
      </c>
      <c r="H6" s="6" t="inlineStr">
        <is>
          <t>Type 2 / Prise E</t>
        </is>
      </c>
      <c r="I6" s="6" t="n">
        <v>22</v>
      </c>
      <c r="J6" s="6" t="inlineStr">
        <is>
          <t>Oui</t>
        </is>
      </c>
      <c r="K6" s="6" t="inlineStr">
        <is>
          <t>Oui</t>
        </is>
      </c>
      <c r="L6" s="6" t="inlineStr">
        <is>
          <t>Oui</t>
        </is>
      </c>
      <c r="M6" s="8" t="n">
        <v>1860</v>
      </c>
      <c r="N6" s="9" t="n"/>
      <c r="O6" s="7" t="inlineStr"/>
    </row>
    <row r="7" ht="16" customHeight="1">
      <c r="A7" s="10" t="n">
        <v>3</v>
      </c>
      <c r="B7" s="11" t="n">
        <v>2</v>
      </c>
      <c r="C7" s="11" t="inlineStr">
        <is>
          <t>S02-CAY-EST</t>
        </is>
      </c>
      <c r="D7" s="12" t="inlineStr">
        <is>
          <t>Cayenne</t>
        </is>
      </c>
      <c r="E7" s="12" t="inlineStr">
        <is>
          <t>Zone commerciale Califourchon</t>
        </is>
      </c>
      <c r="F7" s="11" t="inlineStr">
        <is>
          <t>AC</t>
        </is>
      </c>
      <c r="G7" s="11" t="inlineStr">
        <is>
          <t>e-Premium AC 2x22 kW</t>
        </is>
      </c>
      <c r="H7" s="11" t="inlineStr">
        <is>
          <t>Type 2 / Prise E</t>
        </is>
      </c>
      <c r="I7" s="11" t="n">
        <v>22</v>
      </c>
      <c r="J7" s="11" t="inlineStr">
        <is>
          <t>Oui</t>
        </is>
      </c>
      <c r="K7" s="11" t="inlineStr">
        <is>
          <t>Oui</t>
        </is>
      </c>
      <c r="L7" s="11" t="inlineStr">
        <is>
          <t>Oui</t>
        </is>
      </c>
      <c r="M7" s="13" t="n">
        <v>1860</v>
      </c>
      <c r="N7" s="14" t="n">
        <v>4948</v>
      </c>
      <c r="O7" s="12" t="inlineStr">
        <is>
          <t>Zone commerciale Est — convention mairie</t>
        </is>
      </c>
    </row>
    <row r="8" ht="16" customHeight="1">
      <c r="A8" s="10" t="n">
        <v>4</v>
      </c>
      <c r="B8" s="11" t="n">
        <v>2</v>
      </c>
      <c r="C8" s="11" t="inlineStr">
        <is>
          <t>S02-CAY-EST</t>
        </is>
      </c>
      <c r="D8" s="12" t="inlineStr">
        <is>
          <t>Cayenne</t>
        </is>
      </c>
      <c r="E8" s="12" t="inlineStr">
        <is>
          <t>Zone commerciale Califourchon</t>
        </is>
      </c>
      <c r="F8" s="11" t="inlineStr">
        <is>
          <t>AC</t>
        </is>
      </c>
      <c r="G8" s="11" t="inlineStr">
        <is>
          <t>e-Premium AC 2x22 kW</t>
        </is>
      </c>
      <c r="H8" s="11" t="inlineStr">
        <is>
          <t>Type 2 / Prise E</t>
        </is>
      </c>
      <c r="I8" s="11" t="n">
        <v>22</v>
      </c>
      <c r="J8" s="11" t="inlineStr">
        <is>
          <t>Oui</t>
        </is>
      </c>
      <c r="K8" s="11" t="inlineStr">
        <is>
          <t>Oui</t>
        </is>
      </c>
      <c r="L8" s="11" t="inlineStr">
        <is>
          <t>Oui</t>
        </is>
      </c>
      <c r="M8" s="13" t="n">
        <v>1860</v>
      </c>
      <c r="N8" s="14" t="n"/>
      <c r="O8" s="12" t="inlineStr"/>
    </row>
    <row r="9" ht="16" customHeight="1">
      <c r="A9" s="5" t="n">
        <v>5</v>
      </c>
      <c r="B9" s="6" t="n">
        <v>3</v>
      </c>
      <c r="C9" s="6" t="inlineStr">
        <is>
          <t>S03-MAT</t>
        </is>
      </c>
      <c r="D9" s="7" t="inlineStr">
        <is>
          <t>Matoury</t>
        </is>
      </c>
      <c r="E9" s="7" t="inlineStr">
        <is>
          <t>Parking Geant Casino Matoury</t>
        </is>
      </c>
      <c r="F9" s="6" t="inlineStr">
        <is>
          <t>AC</t>
        </is>
      </c>
      <c r="G9" s="6" t="inlineStr">
        <is>
          <t>e-Premium AC 2x22 kW</t>
        </is>
      </c>
      <c r="H9" s="6" t="inlineStr">
        <is>
          <t>Type 2 / Prise E</t>
        </is>
      </c>
      <c r="I9" s="6" t="n">
        <v>22</v>
      </c>
      <c r="J9" s="6" t="inlineStr">
        <is>
          <t>Oui</t>
        </is>
      </c>
      <c r="K9" s="6" t="inlineStr">
        <is>
          <t>Oui</t>
        </is>
      </c>
      <c r="L9" s="6" t="inlineStr">
        <is>
          <t>Oui</t>
        </is>
      </c>
      <c r="M9" s="8" t="n">
        <v>1860</v>
      </c>
      <c r="N9" s="9" t="n">
        <v>4948</v>
      </c>
      <c r="O9" s="7" t="inlineStr">
        <is>
          <t>Parc commercial — fort flux hebdomadaire</t>
        </is>
      </c>
    </row>
    <row r="10" ht="16" customHeight="1">
      <c r="A10" s="5" t="n">
        <v>6</v>
      </c>
      <c r="B10" s="6" t="n">
        <v>3</v>
      </c>
      <c r="C10" s="6" t="inlineStr">
        <is>
          <t>S03-MAT</t>
        </is>
      </c>
      <c r="D10" s="7" t="inlineStr">
        <is>
          <t>Matoury</t>
        </is>
      </c>
      <c r="E10" s="7" t="inlineStr">
        <is>
          <t>Parking Geant Casino Matoury</t>
        </is>
      </c>
      <c r="F10" s="6" t="inlineStr">
        <is>
          <t>AC</t>
        </is>
      </c>
      <c r="G10" s="6" t="inlineStr">
        <is>
          <t>e-Premium AC 2x22 kW</t>
        </is>
      </c>
      <c r="H10" s="6" t="inlineStr">
        <is>
          <t>Type 2 / Prise E</t>
        </is>
      </c>
      <c r="I10" s="6" t="n">
        <v>22</v>
      </c>
      <c r="J10" s="6" t="inlineStr">
        <is>
          <t>Oui</t>
        </is>
      </c>
      <c r="K10" s="6" t="inlineStr">
        <is>
          <t>Oui</t>
        </is>
      </c>
      <c r="L10" s="6" t="inlineStr">
        <is>
          <t>Oui</t>
        </is>
      </c>
      <c r="M10" s="8" t="n">
        <v>1860</v>
      </c>
      <c r="N10" s="9" t="n"/>
      <c r="O10" s="7" t="inlineStr"/>
    </row>
    <row r="11" ht="16" customHeight="1">
      <c r="A11" s="10" t="n">
        <v>7</v>
      </c>
      <c r="B11" s="11" t="n">
        <v>4</v>
      </c>
      <c r="C11" s="11" t="inlineStr">
        <is>
          <t>S04-REM</t>
        </is>
      </c>
      <c r="D11" s="12" t="inlineStr">
        <is>
          <t>Remire-Montjoly</t>
        </is>
      </c>
      <c r="E11" s="12" t="inlineStr">
        <is>
          <t>Mairie de Remire-Montjoly</t>
        </is>
      </c>
      <c r="F11" s="11" t="inlineStr">
        <is>
          <t>AC</t>
        </is>
      </c>
      <c r="G11" s="11" t="inlineStr">
        <is>
          <t>e-Premium AC 2x22 kW</t>
        </is>
      </c>
      <c r="H11" s="11" t="inlineStr">
        <is>
          <t>Type 2 / Prise E</t>
        </is>
      </c>
      <c r="I11" s="11" t="n">
        <v>22</v>
      </c>
      <c r="J11" s="11" t="inlineStr">
        <is>
          <t>Oui</t>
        </is>
      </c>
      <c r="K11" s="11" t="inlineStr">
        <is>
          <t>Oui</t>
        </is>
      </c>
      <c r="L11" s="11" t="inlineStr">
        <is>
          <t>Oui</t>
        </is>
      </c>
      <c r="M11" s="13" t="n">
        <v>1860</v>
      </c>
      <c r="N11" s="14" t="n">
        <v>4948</v>
      </c>
      <c r="O11" s="12" t="inlineStr">
        <is>
          <t>Site municipal — domaine public voirie</t>
        </is>
      </c>
    </row>
    <row r="12" ht="16" customHeight="1">
      <c r="A12" s="10" t="n">
        <v>8</v>
      </c>
      <c r="B12" s="11" t="n">
        <v>4</v>
      </c>
      <c r="C12" s="11" t="inlineStr">
        <is>
          <t>S04-REM</t>
        </is>
      </c>
      <c r="D12" s="12" t="inlineStr">
        <is>
          <t>Remire-Montjoly</t>
        </is>
      </c>
      <c r="E12" s="12" t="inlineStr">
        <is>
          <t>Mairie de Remire-Montjoly</t>
        </is>
      </c>
      <c r="F12" s="11" t="inlineStr">
        <is>
          <t>AC</t>
        </is>
      </c>
      <c r="G12" s="11" t="inlineStr">
        <is>
          <t>e-Premium AC 2x22 kW</t>
        </is>
      </c>
      <c r="H12" s="11" t="inlineStr">
        <is>
          <t>Type 2 / Prise E</t>
        </is>
      </c>
      <c r="I12" s="11" t="n">
        <v>22</v>
      </c>
      <c r="J12" s="11" t="inlineStr">
        <is>
          <t>Oui</t>
        </is>
      </c>
      <c r="K12" s="11" t="inlineStr">
        <is>
          <t>Oui</t>
        </is>
      </c>
      <c r="L12" s="11" t="inlineStr">
        <is>
          <t>Oui</t>
        </is>
      </c>
      <c r="M12" s="13" t="n">
        <v>1860</v>
      </c>
      <c r="N12" s="14" t="n"/>
      <c r="O12" s="12" t="inlineStr"/>
    </row>
    <row r="13" ht="16" customHeight="1">
      <c r="A13" s="5" t="n">
        <v>9</v>
      </c>
      <c r="B13" s="6" t="n">
        <v>5</v>
      </c>
      <c r="C13" s="6" t="inlineStr">
        <is>
          <t>S05-MAC</t>
        </is>
      </c>
      <c r="D13" s="7" t="inlineStr">
        <is>
          <t>Macouria-Tonate</t>
        </is>
      </c>
      <c r="E13" s="7" t="inlineStr">
        <is>
          <t>Mairie de Macouria</t>
        </is>
      </c>
      <c r="F13" s="6" t="inlineStr">
        <is>
          <t>AC</t>
        </is>
      </c>
      <c r="G13" s="6" t="inlineStr">
        <is>
          <t>e-Premium AC 2x22 kW</t>
        </is>
      </c>
      <c r="H13" s="6" t="inlineStr">
        <is>
          <t>Type 2 / Prise E</t>
        </is>
      </c>
      <c r="I13" s="6" t="n">
        <v>22</v>
      </c>
      <c r="J13" s="6" t="inlineStr">
        <is>
          <t>Oui</t>
        </is>
      </c>
      <c r="K13" s="6" t="inlineStr">
        <is>
          <t>Oui</t>
        </is>
      </c>
      <c r="L13" s="6" t="inlineStr">
        <is>
          <t>Oui</t>
        </is>
      </c>
      <c r="M13" s="8" t="n">
        <v>1860</v>
      </c>
      <c r="N13" s="9" t="n">
        <v>4948</v>
      </c>
      <c r="O13" s="7" t="inlineStr">
        <is>
          <t>Siege operateur — site pilote EGREENCITY</t>
        </is>
      </c>
    </row>
    <row r="14" ht="16" customHeight="1">
      <c r="A14" s="5" t="n">
        <v>10</v>
      </c>
      <c r="B14" s="6" t="n">
        <v>5</v>
      </c>
      <c r="C14" s="6" t="inlineStr">
        <is>
          <t>S05-MAC</t>
        </is>
      </c>
      <c r="D14" s="7" t="inlineStr">
        <is>
          <t>Macouria-Tonate</t>
        </is>
      </c>
      <c r="E14" s="7" t="inlineStr">
        <is>
          <t>Mairie de Macouria</t>
        </is>
      </c>
      <c r="F14" s="6" t="inlineStr">
        <is>
          <t>AC</t>
        </is>
      </c>
      <c r="G14" s="6" t="inlineStr">
        <is>
          <t>e-Premium AC 2x22 kW</t>
        </is>
      </c>
      <c r="H14" s="6" t="inlineStr">
        <is>
          <t>Type 2 / Prise E</t>
        </is>
      </c>
      <c r="I14" s="6" t="n">
        <v>22</v>
      </c>
      <c r="J14" s="6" t="inlineStr">
        <is>
          <t>Oui</t>
        </is>
      </c>
      <c r="K14" s="6" t="inlineStr">
        <is>
          <t>Oui</t>
        </is>
      </c>
      <c r="L14" s="6" t="inlineStr">
        <is>
          <t>Oui</t>
        </is>
      </c>
      <c r="M14" s="8" t="n">
        <v>1860</v>
      </c>
      <c r="N14" s="9" t="n"/>
      <c r="O14" s="7" t="inlineStr"/>
    </row>
    <row r="15" ht="16" customHeight="1">
      <c r="A15" s="10" t="n">
        <v>11</v>
      </c>
      <c r="B15" s="11" t="n">
        <v>6</v>
      </c>
      <c r="C15" s="11" t="inlineStr">
        <is>
          <t>S06-KOU</t>
        </is>
      </c>
      <c r="D15" s="12" t="inlineStr">
        <is>
          <t>Kourou</t>
        </is>
      </c>
      <c r="E15" s="12" t="inlineStr">
        <is>
          <t>Place Newton — Centre-ville Kourou</t>
        </is>
      </c>
      <c r="F15" s="11" t="inlineStr">
        <is>
          <t>AC</t>
        </is>
      </c>
      <c r="G15" s="11" t="inlineStr">
        <is>
          <t>e-Premium AC 2x22 kW</t>
        </is>
      </c>
      <c r="H15" s="11" t="inlineStr">
        <is>
          <t>Type 2 / Prise E</t>
        </is>
      </c>
      <c r="I15" s="11" t="n">
        <v>22</v>
      </c>
      <c r="J15" s="11" t="inlineStr">
        <is>
          <t>Oui</t>
        </is>
      </c>
      <c r="K15" s="11" t="inlineStr">
        <is>
          <t>Oui</t>
        </is>
      </c>
      <c r="L15" s="11" t="inlineStr">
        <is>
          <t>Oui</t>
        </is>
      </c>
      <c r="M15" s="13" t="n">
        <v>1860</v>
      </c>
      <c r="N15" s="14" t="n">
        <v>4948</v>
      </c>
      <c r="O15" s="12" t="inlineStr">
        <is>
          <t>Centre-ville Kourou — 2e pole urbain</t>
        </is>
      </c>
    </row>
    <row r="16" ht="16" customHeight="1">
      <c r="A16" s="10" t="n">
        <v>12</v>
      </c>
      <c r="B16" s="11" t="n">
        <v>6</v>
      </c>
      <c r="C16" s="11" t="inlineStr">
        <is>
          <t>S06-KOU</t>
        </is>
      </c>
      <c r="D16" s="12" t="inlineStr">
        <is>
          <t>Kourou</t>
        </is>
      </c>
      <c r="E16" s="12" t="inlineStr">
        <is>
          <t>Place Newton — Centre-ville Kourou</t>
        </is>
      </c>
      <c r="F16" s="11" t="inlineStr">
        <is>
          <t>AC</t>
        </is>
      </c>
      <c r="G16" s="11" t="inlineStr">
        <is>
          <t>e-Premium AC 2x22 kW</t>
        </is>
      </c>
      <c r="H16" s="11" t="inlineStr">
        <is>
          <t>Type 2 / Prise E</t>
        </is>
      </c>
      <c r="I16" s="11" t="n">
        <v>22</v>
      </c>
      <c r="J16" s="11" t="inlineStr">
        <is>
          <t>Oui</t>
        </is>
      </c>
      <c r="K16" s="11" t="inlineStr">
        <is>
          <t>Oui</t>
        </is>
      </c>
      <c r="L16" s="11" t="inlineStr">
        <is>
          <t>Oui</t>
        </is>
      </c>
      <c r="M16" s="13" t="n">
        <v>1860</v>
      </c>
      <c r="N16" s="14" t="n"/>
      <c r="O16" s="12" t="inlineStr"/>
    </row>
    <row r="17" ht="16" customHeight="1">
      <c r="A17" s="5" t="n">
        <v>13</v>
      </c>
      <c r="B17" s="6" t="n">
        <v>7</v>
      </c>
      <c r="C17" s="6" t="inlineStr">
        <is>
          <t>S07-IRA-A</t>
        </is>
      </c>
      <c r="D17" s="7" t="inlineStr">
        <is>
          <t>Iracoubo</t>
        </is>
      </c>
      <c r="E17" s="7" t="inlineStr">
        <is>
          <t>Place de la Mairie d'Iracoubo</t>
        </is>
      </c>
      <c r="F17" s="6" t="inlineStr">
        <is>
          <t>AC</t>
        </is>
      </c>
      <c r="G17" s="6" t="inlineStr">
        <is>
          <t>e-Premium AC 2x22 kW</t>
        </is>
      </c>
      <c r="H17" s="6" t="inlineStr">
        <is>
          <t>Type 2 / Prise E</t>
        </is>
      </c>
      <c r="I17" s="6" t="n">
        <v>22</v>
      </c>
      <c r="J17" s="6" t="inlineStr">
        <is>
          <t>Oui</t>
        </is>
      </c>
      <c r="K17" s="6" t="inlineStr">
        <is>
          <t>Oui</t>
        </is>
      </c>
      <c r="L17" s="6" t="inlineStr">
        <is>
          <t>Oui</t>
        </is>
      </c>
      <c r="M17" s="8" t="n">
        <v>1860</v>
      </c>
      <c r="N17" s="9" t="n">
        <v>4948</v>
      </c>
      <c r="O17" s="7" t="inlineStr">
        <is>
          <t>Relais RN1 km 95 — 1er site (Mairie)</t>
        </is>
      </c>
    </row>
    <row r="18" ht="16" customHeight="1">
      <c r="A18" s="5" t="n">
        <v>14</v>
      </c>
      <c r="B18" s="6" t="n">
        <v>7</v>
      </c>
      <c r="C18" s="6" t="inlineStr">
        <is>
          <t>S07-IRA-A</t>
        </is>
      </c>
      <c r="D18" s="7" t="inlineStr">
        <is>
          <t>Iracoubo</t>
        </is>
      </c>
      <c r="E18" s="7" t="inlineStr">
        <is>
          <t>Place de la Mairie d'Iracoubo</t>
        </is>
      </c>
      <c r="F18" s="6" t="inlineStr">
        <is>
          <t>AC</t>
        </is>
      </c>
      <c r="G18" s="6" t="inlineStr">
        <is>
          <t>e-Premium AC 2x22 kW</t>
        </is>
      </c>
      <c r="H18" s="6" t="inlineStr">
        <is>
          <t>Type 2 / Prise E</t>
        </is>
      </c>
      <c r="I18" s="6" t="n">
        <v>22</v>
      </c>
      <c r="J18" s="6" t="inlineStr">
        <is>
          <t>Oui</t>
        </is>
      </c>
      <c r="K18" s="6" t="inlineStr">
        <is>
          <t>Oui</t>
        </is>
      </c>
      <c r="L18" s="6" t="inlineStr">
        <is>
          <t>Oui</t>
        </is>
      </c>
      <c r="M18" s="8" t="n">
        <v>1860</v>
      </c>
      <c r="N18" s="9" t="n"/>
      <c r="O18" s="7" t="inlineStr"/>
    </row>
    <row r="19" ht="16" customHeight="1">
      <c r="A19" s="10" t="n">
        <v>15</v>
      </c>
      <c r="B19" s="11" t="n">
        <v>8</v>
      </c>
      <c r="C19" s="11" t="inlineStr">
        <is>
          <t>S08-IRA-B</t>
        </is>
      </c>
      <c r="D19" s="12" t="inlineStr">
        <is>
          <t>Iracoubo</t>
        </is>
      </c>
      <c r="E19" s="12" t="inlineStr">
        <is>
          <t>Aire de repos RN1 — km 95 Iracoubo</t>
        </is>
      </c>
      <c r="F19" s="11" t="inlineStr">
        <is>
          <t>AC</t>
        </is>
      </c>
      <c r="G19" s="11" t="inlineStr">
        <is>
          <t>e-Premium AC 2x22 kW</t>
        </is>
      </c>
      <c r="H19" s="11" t="inlineStr">
        <is>
          <t>Type 2 / Prise E</t>
        </is>
      </c>
      <c r="I19" s="11" t="n">
        <v>22</v>
      </c>
      <c r="J19" s="11" t="inlineStr">
        <is>
          <t>Oui</t>
        </is>
      </c>
      <c r="K19" s="11" t="inlineStr">
        <is>
          <t>Oui</t>
        </is>
      </c>
      <c r="L19" s="11" t="inlineStr">
        <is>
          <t>Oui</t>
        </is>
      </c>
      <c r="M19" s="13" t="n">
        <v>1860</v>
      </c>
      <c r="N19" s="14" t="n">
        <v>4948</v>
      </c>
      <c r="O19" s="12" t="inlineStr">
        <is>
          <t>Relais RN1 km 95 — 2e site (Aire repos)</t>
        </is>
      </c>
    </row>
    <row r="20" ht="16" customHeight="1">
      <c r="A20" s="10" t="n">
        <v>16</v>
      </c>
      <c r="B20" s="11" t="n">
        <v>8</v>
      </c>
      <c r="C20" s="11" t="inlineStr">
        <is>
          <t>S08-IRA-B</t>
        </is>
      </c>
      <c r="D20" s="12" t="inlineStr">
        <is>
          <t>Iracoubo</t>
        </is>
      </c>
      <c r="E20" s="12" t="inlineStr">
        <is>
          <t>Aire de repos RN1 — km 95 Iracoubo</t>
        </is>
      </c>
      <c r="F20" s="11" t="inlineStr">
        <is>
          <t>AC</t>
        </is>
      </c>
      <c r="G20" s="11" t="inlineStr">
        <is>
          <t>e-Premium AC 2x22 kW</t>
        </is>
      </c>
      <c r="H20" s="11" t="inlineStr">
        <is>
          <t>Type 2 / Prise E</t>
        </is>
      </c>
      <c r="I20" s="11" t="n">
        <v>22</v>
      </c>
      <c r="J20" s="11" t="inlineStr">
        <is>
          <t>Oui</t>
        </is>
      </c>
      <c r="K20" s="11" t="inlineStr">
        <is>
          <t>Oui</t>
        </is>
      </c>
      <c r="L20" s="11" t="inlineStr">
        <is>
          <t>Oui</t>
        </is>
      </c>
      <c r="M20" s="13" t="n">
        <v>1860</v>
      </c>
      <c r="N20" s="14" t="n"/>
      <c r="O20" s="12" t="inlineStr"/>
    </row>
    <row r="21" ht="16" customHeight="1">
      <c r="A21" s="5" t="n">
        <v>17</v>
      </c>
      <c r="B21" s="6" t="n">
        <v>9</v>
      </c>
      <c r="C21" s="6" t="inlineStr">
        <is>
          <t>S09-SLM</t>
        </is>
      </c>
      <c r="D21" s="7" t="inlineStr">
        <is>
          <t>Saint-Laurent-du-Maroni</t>
        </is>
      </c>
      <c r="E21" s="7" t="inlineStr">
        <is>
          <t>Mairie de Saint-Laurent-du-Maroni</t>
        </is>
      </c>
      <c r="F21" s="6" t="inlineStr">
        <is>
          <t>AC</t>
        </is>
      </c>
      <c r="G21" s="6" t="inlineStr">
        <is>
          <t>e-Premium AC 2x22 kW</t>
        </is>
      </c>
      <c r="H21" s="6" t="inlineStr">
        <is>
          <t>Type 2 / Prise E</t>
        </is>
      </c>
      <c r="I21" s="6" t="n">
        <v>22</v>
      </c>
      <c r="J21" s="6" t="inlineStr">
        <is>
          <t>Oui</t>
        </is>
      </c>
      <c r="K21" s="6" t="inlineStr">
        <is>
          <t>Oui</t>
        </is>
      </c>
      <c r="L21" s="6" t="inlineStr">
        <is>
          <t>Oui</t>
        </is>
      </c>
      <c r="M21" s="8" t="n">
        <v>1860</v>
      </c>
      <c r="N21" s="9" t="n">
        <v>4948</v>
      </c>
      <c r="O21" s="7" t="inlineStr">
        <is>
          <t>3e pole urbain — desenclavement Ouest</t>
        </is>
      </c>
    </row>
    <row r="22" ht="16" customHeight="1">
      <c r="A22" s="5" t="n">
        <v>18</v>
      </c>
      <c r="B22" s="6" t="n">
        <v>9</v>
      </c>
      <c r="C22" s="6" t="inlineStr">
        <is>
          <t>S09-SLM</t>
        </is>
      </c>
      <c r="D22" s="7" t="inlineStr">
        <is>
          <t>Saint-Laurent-du-Maroni</t>
        </is>
      </c>
      <c r="E22" s="7" t="inlineStr">
        <is>
          <t>Mairie de Saint-Laurent-du-Maroni</t>
        </is>
      </c>
      <c r="F22" s="6" t="inlineStr">
        <is>
          <t>AC</t>
        </is>
      </c>
      <c r="G22" s="6" t="inlineStr">
        <is>
          <t>e-Premium AC 2x22 kW</t>
        </is>
      </c>
      <c r="H22" s="6" t="inlineStr">
        <is>
          <t>Type 2 / Prise E</t>
        </is>
      </c>
      <c r="I22" s="6" t="n">
        <v>22</v>
      </c>
      <c r="J22" s="6" t="inlineStr">
        <is>
          <t>Oui</t>
        </is>
      </c>
      <c r="K22" s="6" t="inlineStr">
        <is>
          <t>Oui</t>
        </is>
      </c>
      <c r="L22" s="6" t="inlineStr">
        <is>
          <t>Oui</t>
        </is>
      </c>
      <c r="M22" s="8" t="n">
        <v>1860</v>
      </c>
      <c r="N22" s="9" t="n"/>
      <c r="O22" s="7" t="inlineStr"/>
    </row>
    <row r="23" ht="16" customHeight="1">
      <c r="A23" s="10" t="n">
        <v>19</v>
      </c>
      <c r="B23" s="11" t="n">
        <v>10</v>
      </c>
      <c r="C23" s="11" t="inlineStr">
        <is>
          <t>S10-MAN</t>
        </is>
      </c>
      <c r="D23" s="12" t="inlineStr">
        <is>
          <t>Mana</t>
        </is>
      </c>
      <c r="E23" s="12" t="inlineStr">
        <is>
          <t>Place de la Mairie — Mana</t>
        </is>
      </c>
      <c r="F23" s="11" t="inlineStr">
        <is>
          <t>AC</t>
        </is>
      </c>
      <c r="G23" s="11" t="inlineStr">
        <is>
          <t>e-Premium AC 2x22 kW</t>
        </is>
      </c>
      <c r="H23" s="11" t="inlineStr">
        <is>
          <t>Type 2 / Prise E</t>
        </is>
      </c>
      <c r="I23" s="11" t="n">
        <v>22</v>
      </c>
      <c r="J23" s="11" t="inlineStr">
        <is>
          <t>Oui</t>
        </is>
      </c>
      <c r="K23" s="11" t="inlineStr">
        <is>
          <t>Oui</t>
        </is>
      </c>
      <c r="L23" s="11" t="inlineStr">
        <is>
          <t>Oui</t>
        </is>
      </c>
      <c r="M23" s="13" t="n">
        <v>1860</v>
      </c>
      <c r="N23" s="14" t="n">
        <v>4948</v>
      </c>
      <c r="O23" s="12" t="inlineStr">
        <is>
          <t>Communes littorales Ouest — axe Mana</t>
        </is>
      </c>
    </row>
    <row r="24" ht="16" customHeight="1">
      <c r="A24" s="10" t="n">
        <v>20</v>
      </c>
      <c r="B24" s="11" t="n">
        <v>10</v>
      </c>
      <c r="C24" s="11" t="inlineStr">
        <is>
          <t>S10-MAN</t>
        </is>
      </c>
      <c r="D24" s="12" t="inlineStr">
        <is>
          <t>Mana</t>
        </is>
      </c>
      <c r="E24" s="12" t="inlineStr">
        <is>
          <t>Place de la Mairie — Mana</t>
        </is>
      </c>
      <c r="F24" s="11" t="inlineStr">
        <is>
          <t>AC</t>
        </is>
      </c>
      <c r="G24" s="11" t="inlineStr">
        <is>
          <t>e-Premium AC 2x22 kW</t>
        </is>
      </c>
      <c r="H24" s="11" t="inlineStr">
        <is>
          <t>Type 2 / Prise E</t>
        </is>
      </c>
      <c r="I24" s="11" t="n">
        <v>22</v>
      </c>
      <c r="J24" s="11" t="inlineStr">
        <is>
          <t>Oui</t>
        </is>
      </c>
      <c r="K24" s="11" t="inlineStr">
        <is>
          <t>Oui</t>
        </is>
      </c>
      <c r="L24" s="11" t="inlineStr">
        <is>
          <t>Oui</t>
        </is>
      </c>
      <c r="M24" s="13" t="n">
        <v>1860</v>
      </c>
      <c r="N24" s="14" t="n"/>
      <c r="O24" s="12">
        <f> 75.2 % du HT materiel</f>
        <v/>
      </c>
    </row>
    <row r="25" ht="22" customHeight="1">
      <c r="A25" s="15" t="inlineStr">
        <is>
          <t>TOTAUX — 10 stations  |  20 PDC  |  440 kW  |  37 200 EUR ADVENIR</t>
        </is>
      </c>
      <c r="B25" s="23" t="n"/>
      <c r="C25" s="23" t="n"/>
      <c r="D25" s="23" t="n"/>
      <c r="E25" s="23" t="n"/>
      <c r="F25" s="23" t="n"/>
      <c r="G25" s="23" t="n"/>
      <c r="H25" s="24" t="n"/>
      <c r="I25" s="16">
        <f>SUM(I5:I24)</f>
        <v/>
      </c>
      <c r="J25" s="17" t="inlineStr">
        <is>
          <t>Oui</t>
        </is>
      </c>
      <c r="K25" s="17" t="inlineStr">
        <is>
          <t>Oui</t>
        </is>
      </c>
      <c r="L25" s="17" t="inlineStr">
        <is>
          <t>Oui</t>
        </is>
      </c>
      <c r="M25" s="16">
        <f>SUM(M5:M24)</f>
        <v/>
      </c>
      <c r="N25" s="16">
        <f>SUMIF(N5:N24,"&gt;0")</f>
        <v/>
      </c>
      <c r="O25" s="17">
        <f> 64,1 % du HT materiel</f>
        <v/>
      </c>
    </row>
    <row r="28" ht="20" customHeight="1">
      <c r="A28" s="18" t="inlineStr">
        <is>
          <t>SYNTHESE PAR COMMUNE</t>
        </is>
      </c>
    </row>
    <row r="29" ht="26" customHeight="1">
      <c r="A29" s="4" t="inlineStr">
        <is>
          <t>Commune</t>
        </is>
      </c>
      <c r="B29" s="4" t="inlineStr">
        <is>
          <t>Nb stations</t>
        </is>
      </c>
      <c r="C29" s="4" t="inlineStr">
        <is>
          <t>Nb PDC</t>
        </is>
      </c>
      <c r="D29" s="4" t="inlineStr">
        <is>
          <t>Puiss. totale (kW)</t>
        </is>
      </c>
      <c r="E29" s="4" t="inlineStr">
        <is>
          <t>Type(s) IRVE</t>
        </is>
      </c>
      <c r="F29" s="4" t="inlineStr">
        <is>
          <t>Prime ADVENIR (EUR)</t>
        </is>
      </c>
      <c r="G29" s="4" t="inlineStr">
        <is>
          <t>Prix HT (EUR)</t>
        </is>
      </c>
      <c r="H29" s="4" t="inlineStr">
        <is>
          <t>Priorite maillage</t>
        </is>
      </c>
    </row>
    <row r="30" ht="15" customHeight="1">
      <c r="A30" s="19" t="inlineStr">
        <is>
          <t>Cayenne</t>
        </is>
      </c>
      <c r="B30" s="11" t="n">
        <v>2</v>
      </c>
      <c r="C30" s="11" t="n">
        <v>4</v>
      </c>
      <c r="D30" s="11" t="n">
        <v>88</v>
      </c>
      <c r="E30" s="11" t="inlineStr">
        <is>
          <t>AC</t>
        </is>
      </c>
      <c r="F30" s="14" t="n">
        <v>7440</v>
      </c>
      <c r="G30" s="14" t="n">
        <v>9896</v>
      </c>
      <c r="H30" s="11" t="inlineStr">
        <is>
          <t>Capitale — 2 stations</t>
        </is>
      </c>
    </row>
    <row r="31" ht="15" customHeight="1">
      <c r="A31" s="20" t="inlineStr">
        <is>
          <t>Matoury</t>
        </is>
      </c>
      <c r="B31" s="6" t="n">
        <v>1</v>
      </c>
      <c r="C31" s="6" t="n">
        <v>2</v>
      </c>
      <c r="D31" s="6" t="n">
        <v>44</v>
      </c>
      <c r="E31" s="6" t="inlineStr">
        <is>
          <t>AC</t>
        </is>
      </c>
      <c r="F31" s="9" t="n">
        <v>3720</v>
      </c>
      <c r="G31" s="9" t="n">
        <v>4948</v>
      </c>
      <c r="H31" s="6" t="inlineStr">
        <is>
          <t>Banlieue Cayenne</t>
        </is>
      </c>
    </row>
    <row r="32" ht="15" customHeight="1">
      <c r="A32" s="19" t="inlineStr">
        <is>
          <t>Remire-Montjoly</t>
        </is>
      </c>
      <c r="B32" s="11" t="n">
        <v>1</v>
      </c>
      <c r="C32" s="11" t="n">
        <v>2</v>
      </c>
      <c r="D32" s="11" t="n">
        <v>44</v>
      </c>
      <c r="E32" s="11" t="inlineStr">
        <is>
          <t>AC</t>
        </is>
      </c>
      <c r="F32" s="14" t="n">
        <v>3720</v>
      </c>
      <c r="G32" s="14" t="n">
        <v>4948</v>
      </c>
      <c r="H32" s="11" t="inlineStr">
        <is>
          <t>Banlieue Cayenne</t>
        </is>
      </c>
    </row>
    <row r="33" ht="15" customHeight="1">
      <c r="A33" s="20" t="inlineStr">
        <is>
          <t>Macouria-Tonate</t>
        </is>
      </c>
      <c r="B33" s="6" t="n">
        <v>1</v>
      </c>
      <c r="C33" s="6" t="n">
        <v>2</v>
      </c>
      <c r="D33" s="6" t="n">
        <v>44</v>
      </c>
      <c r="E33" s="6" t="inlineStr">
        <is>
          <t>AC</t>
        </is>
      </c>
      <c r="F33" s="9" t="n">
        <v>3720</v>
      </c>
      <c r="G33" s="9" t="n">
        <v>4948</v>
      </c>
      <c r="H33" s="6" t="inlineStr">
        <is>
          <t>Siege operateur</t>
        </is>
      </c>
    </row>
    <row r="34" ht="15" customHeight="1">
      <c r="A34" s="19" t="inlineStr">
        <is>
          <t>Kourou</t>
        </is>
      </c>
      <c r="B34" s="11" t="n">
        <v>1</v>
      </c>
      <c r="C34" s="11" t="n">
        <v>2</v>
      </c>
      <c r="D34" s="11" t="n">
        <v>44</v>
      </c>
      <c r="E34" s="11" t="inlineStr">
        <is>
          <t>AC</t>
        </is>
      </c>
      <c r="F34" s="14" t="n">
        <v>3720</v>
      </c>
      <c r="G34" s="14" t="n">
        <v>4948</v>
      </c>
      <c r="H34" s="11" t="inlineStr">
        <is>
          <t>2e pole urbain</t>
        </is>
      </c>
    </row>
    <row r="35" ht="15" customHeight="1">
      <c r="A35" s="20" t="inlineStr">
        <is>
          <t>Iracoubo</t>
        </is>
      </c>
      <c r="B35" s="6" t="n">
        <v>2</v>
      </c>
      <c r="C35" s="6" t="n">
        <v>4</v>
      </c>
      <c r="D35" s="6" t="n">
        <v>88</v>
      </c>
      <c r="E35" s="6" t="inlineStr">
        <is>
          <t>AC</t>
        </is>
      </c>
      <c r="F35" s="9" t="n">
        <v>7440</v>
      </c>
      <c r="G35" s="9" t="n">
        <v>9896</v>
      </c>
      <c r="H35" s="6" t="inlineStr">
        <is>
          <t>Relais RN1 km 95 — 4 PDC</t>
        </is>
      </c>
    </row>
    <row r="36" ht="15" customHeight="1">
      <c r="A36" s="19" t="inlineStr">
        <is>
          <t>Saint-Laurent-du-Maroni</t>
        </is>
      </c>
      <c r="B36" s="11" t="n">
        <v>1</v>
      </c>
      <c r="C36" s="11" t="n">
        <v>2</v>
      </c>
      <c r="D36" s="11" t="n">
        <v>44</v>
      </c>
      <c r="E36" s="11" t="inlineStr">
        <is>
          <t>AC</t>
        </is>
      </c>
      <c r="F36" s="14" t="n">
        <v>3720</v>
      </c>
      <c r="G36" s="14" t="n">
        <v>4948</v>
      </c>
      <c r="H36" s="11" t="inlineStr">
        <is>
          <t>3e pole urbain</t>
        </is>
      </c>
    </row>
    <row r="37" ht="15" customHeight="1">
      <c r="A37" s="20" t="inlineStr">
        <is>
          <t>Mana</t>
        </is>
      </c>
      <c r="B37" s="6" t="n">
        <v>1</v>
      </c>
      <c r="C37" s="6" t="n">
        <v>2</v>
      </c>
      <c r="D37" s="6" t="n">
        <v>44</v>
      </c>
      <c r="E37" s="6" t="inlineStr">
        <is>
          <t>AC</t>
        </is>
      </c>
      <c r="F37" s="9" t="n">
        <v>3720</v>
      </c>
      <c r="G37" s="9" t="n">
        <v>5802</v>
      </c>
      <c r="H37" s="6" t="inlineStr">
        <is>
          <t>Desserte littoral Ouest</t>
        </is>
      </c>
    </row>
    <row r="40">
      <c r="A40" s="21" t="inlineStr">
        <is>
          <t>NOTES</t>
        </is>
      </c>
    </row>
    <row r="41" ht="13" customHeight="1">
      <c r="A41" s="22" t="inlineStr">
        <is>
          <t>- Prime ADVENIR : 1 860 EUR/PDC — Programme AVERE-France, voirie publique, puissance PDC &gt;= 7,4 kW</t>
        </is>
      </c>
    </row>
    <row r="42" ht="13" customHeight="1">
      <c r="A42" s="22" t="inlineStr">
        <is>
          <t>- Engagement : 5 ans minimum de disponibilite publique 24/7 — Signaletique ADVENIR obligatoire sur chaque borne</t>
        </is>
      </c>
    </row>
    <row r="43" ht="13" customHeight="1">
      <c r="A43" s="22" t="inlineStr">
        <is>
          <t>- Equipements certifies OCPP 1.6J | Authentification RFID + CB sans contact + app mobile iOS/Android</t>
        </is>
      </c>
    </row>
    <row r="44" ht="13" customHeight="1">
      <c r="A44" s="22" t="inlineStr">
        <is>
          <t>- e-Premium AC 2x22 kW : 4948 EUR HT/borne (devis E-TOTEM ref. DEV26000037 du 30/04/2026)</t>
        </is>
      </c>
    </row>
    <row r="45" ht="13" customHeight="1">
      <c r="A45" s="22" t="inlineStr">
        <is>
          <t>- Coefficient TTC Guyane x1,670 — inclut Octroi de Mer 23%, fret DROM, installation, raccordement EDF</t>
        </is>
      </c>
    </row>
    <row r="46" ht="13" customHeight="1">
      <c r="A46" s="22" t="inlineStr">
        <is>
          <t>- Iracoubo (S07 + S08) : 4 PDC = 2 bornes — relais AC strategique axe RN1 Cayenne-SLM (km 95)</t>
        </is>
      </c>
    </row>
    <row r="47" ht="13" customHeight="1">
      <c r="A47" s="22" t="inlineStr">
        <is>
          <t>- Taux de couverture ADVENIR : 37 200 EUR / 49 480 EUR HT = 75.2% (exceptionnel en DROM)</t>
        </is>
      </c>
    </row>
    <row r="48"/>
    <row r="49"/>
  </sheetData>
  <mergeCells count="13">
    <mergeCell ref="A43:O43"/>
    <mergeCell ref="A2:O2"/>
    <mergeCell ref="A25:H25"/>
    <mergeCell ref="A28:O28"/>
    <mergeCell ref="A42:O42"/>
    <mergeCell ref="A41:O41"/>
    <mergeCell ref="A44:O44"/>
    <mergeCell ref="A47:O47"/>
    <mergeCell ref="A1:O1"/>
    <mergeCell ref="A45:O45"/>
    <mergeCell ref="A46:O46"/>
    <mergeCell ref="A40:O40"/>
    <mergeCell ref="A3:O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2026-04-17T18:19:22Z</dcterms:created>
  <dcterms:modified xmlns:dcterms="http://purl.org/dc/terms/" xmlns:xsi="http://www.w3.org/2001/XMLSchema-instance" xsi:type="dcterms:W3CDTF">2026-05-01T04:21:34Z</dcterms:modified>
</cp:coreProperties>
</file>