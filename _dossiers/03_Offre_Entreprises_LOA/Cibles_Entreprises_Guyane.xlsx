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les" sheetId="1" state="visible" r:id="rId1"/>
    <sheet xmlns:r="http://schemas.openxmlformats.org/officeDocument/2006/relationships" name="Calculateur_LOA" sheetId="2" state="visible" r:id="rId2"/>
  </sheets>
  <definedNames>
    <definedName name="_xlnm._FilterDatabase" localSheetId="0" hidden="1">'Cibles'!$A$3:$R$52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EUR&quot;"/>
    <numFmt numFmtId="165" formatCode="#,##0.00&quot; EUR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a472a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e7d32"/>
      <sz val="9"/>
    </font>
    <font>
      <name val="Arial"/>
      <b val="1"/>
      <color rgb="00333333"/>
      <sz val="9"/>
    </font>
    <font>
      <name val="Arial"/>
      <i val="1"/>
      <color rgb="00607d8b"/>
      <sz val="8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0000FF"/>
      <sz val="11"/>
    </font>
    <font>
      <name val="Arial"/>
      <b val="1"/>
      <color rgb="00000000"/>
      <sz val="11"/>
    </font>
    <font>
      <name val="Arial"/>
      <color rgb="000000FF"/>
      <sz val="11"/>
    </font>
    <font>
      <name val="Arial"/>
      <b val="1"/>
      <color rgb="001a472a"/>
      <sz val="10"/>
    </font>
    <font>
      <name val="Arial"/>
      <b val="1"/>
      <color rgb="001a472a"/>
      <sz val="12"/>
    </font>
    <font>
      <name val="Arial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a472a"/>
      </patternFill>
    </fill>
    <fill>
      <patternFill patternType="solid">
        <fgColor rgb="00c8e6c9"/>
      </patternFill>
    </fill>
    <fill>
      <patternFill patternType="solid">
        <fgColor rgb="00f1f8e9"/>
      </patternFill>
    </fill>
    <fill>
      <patternFill patternType="solid">
        <fgColor rgb="00ce93d8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0000CC"/>
      </patternFill>
    </fill>
    <fill>
      <patternFill patternType="solid">
        <fgColor rgb="00dce6ff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 style="medium">
        <color rgb="000000CC"/>
      </left>
      <right style="medium">
        <color rgb="000000CC"/>
      </right>
      <top style="medium">
        <color rgb="000000CC"/>
      </top>
      <bottom style="medium">
        <color rgb="000000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0" borderId="0" pivotButton="0" quotePrefix="0" xfId="0"/>
    <xf numFmtId="0" fontId="5" fillId="9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  <xf numFmtId="0" fontId="11" fillId="12" borderId="2" applyAlignment="1" pivotButton="0" quotePrefix="0" xfId="0">
      <alignment horizontal="center" vertical="center"/>
    </xf>
    <xf numFmtId="0" fontId="8" fillId="0" borderId="0" pivotButton="0" quotePrefix="0" xfId="0"/>
    <xf numFmtId="0" fontId="3" fillId="13" borderId="0" applyAlignment="1" pivotButton="0" quotePrefix="0" xfId="0">
      <alignment horizontal="left"/>
    </xf>
    <xf numFmtId="165" fontId="12" fillId="14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65" fontId="15" fillId="3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472a"/>
    <outlinePr summaryBelow="1" summaryRight="1"/>
    <pageSetUpPr/>
  </sheetPr>
  <dimension ref="A1:R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14" customWidth="1" min="4" max="4"/>
    <col width="30" customWidth="1" min="5" max="5"/>
    <col width="16" customWidth="1" min="6" max="6"/>
    <col width="30" customWidth="1" min="7" max="7"/>
    <col width="20" customWidth="1" min="8" max="8"/>
    <col width="14" customWidth="1" min="9" max="9"/>
    <col width="5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35" customWidth="1" min="17" max="17"/>
    <col width="10" customWidth="1" min="18" max="18"/>
  </cols>
  <sheetData>
    <row r="1" ht="30" customHeight="1">
      <c r="A1" s="1" t="inlineStr">
        <is>
          <t>EGREENCITY'S — CIBLES COMMERCIALES LOA BORNES DE RECHARGE — GUYANE 2026</t>
        </is>
      </c>
    </row>
    <row r="2" ht="18" customHeight="1">
      <c r="A2" s="2" t="inlineStr">
        <is>
          <t>Programme ADVENIR EGREENCITY'S | LOA 72 mois min. | A partir de 89 EUR HT/mois/PDC | egreencitys@gmail.com | +33 6 51 14 11 18</t>
        </is>
      </c>
    </row>
    <row r="3" ht="32" customHeight="1">
      <c r="A3" s="3" t="inlineStr">
        <is>
          <t>ID</t>
        </is>
      </c>
      <c r="B3" s="3" t="inlineStr">
        <is>
          <t>Secteur</t>
        </is>
      </c>
      <c r="C3" s="3" t="inlineStr">
        <is>
          <t>Entreprise</t>
        </is>
      </c>
      <c r="D3" s="3" t="inlineStr">
        <is>
          <t>Ville</t>
        </is>
      </c>
      <c r="E3" s="3" t="inlineStr">
        <is>
          <t>Adresse</t>
        </is>
      </c>
      <c r="F3" s="3" t="inlineStr">
        <is>
          <t>Tel</t>
        </is>
      </c>
      <c r="G3" s="3" t="inlineStr">
        <is>
          <t>Email</t>
        </is>
      </c>
      <c r="H3" s="3" t="inlineStr">
        <is>
          <t>Contact</t>
        </is>
      </c>
      <c r="I3" s="3" t="inlineStr">
        <is>
          <t>Offre LOA</t>
        </is>
      </c>
      <c r="J3" s="3" t="inlineStr">
        <is>
          <t>PDC</t>
        </is>
      </c>
      <c r="K3" s="3" t="inlineStr">
        <is>
          <t>Loyer/mois HT</t>
        </is>
      </c>
      <c r="L3" s="3" t="inlineStr">
        <is>
          <t>Statut</t>
        </is>
      </c>
      <c r="M3" s="3" t="inlineStr">
        <is>
          <t>Date contact</t>
        </is>
      </c>
      <c r="N3" s="3" t="inlineStr">
        <is>
          <t>Reponse</t>
        </is>
      </c>
      <c r="O3" s="3" t="inlineStr">
        <is>
          <t>RDV</t>
        </is>
      </c>
      <c r="P3" s="3" t="inlineStr">
        <is>
          <t>Contrat</t>
        </is>
      </c>
      <c r="Q3" s="3" t="inlineStr">
        <is>
          <t>Notes</t>
        </is>
      </c>
      <c r="R3" s="3" t="inlineStr">
        <is>
          <t>Priorite</t>
        </is>
      </c>
    </row>
    <row r="4" ht="16" customHeight="1">
      <c r="A4" s="4" t="inlineStr">
        <is>
          <t>H01</t>
        </is>
      </c>
      <c r="B4" s="4" t="inlineStr">
        <is>
          <t>Hotellerie</t>
        </is>
      </c>
      <c r="C4" s="4" t="inlineStr">
        <is>
          <t>Hotel Mercure Cayenne</t>
        </is>
      </c>
      <c r="D4" s="4" t="inlineStr">
        <is>
          <t>Cayenne</t>
        </is>
      </c>
      <c r="E4" s="5" t="inlineStr">
        <is>
          <t>Place des Palmistes, 97300 Cayenne</t>
        </is>
      </c>
      <c r="F4" s="4" t="inlineStr">
        <is>
          <t>+33 5 94 29 20 20</t>
        </is>
      </c>
      <c r="G4" s="4" t="inlineStr">
        <is>
          <t>h3473@accor.com</t>
        </is>
      </c>
      <c r="H4" s="4" t="inlineStr">
        <is>
          <t>Direction</t>
        </is>
      </c>
      <c r="I4" s="6" t="inlineStr">
        <is>
          <t>Premium</t>
        </is>
      </c>
      <c r="J4" s="4" t="n">
        <v>2</v>
      </c>
      <c r="K4" s="7" t="n">
        <v>338</v>
      </c>
      <c r="L4" s="4" t="inlineStr"/>
      <c r="M4" s="4" t="inlineStr"/>
      <c r="N4" s="4" t="inlineStr"/>
      <c r="O4" s="4" t="inlineStr"/>
      <c r="P4" s="4" t="inlineStr"/>
      <c r="Q4" s="5" t="inlineStr">
        <is>
          <t>A contacter</t>
        </is>
      </c>
      <c r="R4" s="8" t="inlineStr">
        <is>
          <t>Priorite 1</t>
        </is>
      </c>
    </row>
    <row r="5" ht="16" customHeight="1">
      <c r="A5" s="9" t="inlineStr">
        <is>
          <t>H02</t>
        </is>
      </c>
      <c r="B5" s="9" t="inlineStr">
        <is>
          <t>Hotellerie</t>
        </is>
      </c>
      <c r="C5" s="9" t="inlineStr">
        <is>
          <t>Best Western Hotel le Dronmi</t>
        </is>
      </c>
      <c r="D5" s="9" t="inlineStr">
        <is>
          <t>Cayenne</t>
        </is>
      </c>
      <c r="E5" s="10" t="inlineStr">
        <is>
          <t>Chemin St-Antoine, 97300 Cayenne</t>
        </is>
      </c>
      <c r="F5" s="9" t="inlineStr">
        <is>
          <t>+33 5 94 25 06 06</t>
        </is>
      </c>
      <c r="G5" s="11" t="inlineStr">
        <is>
          <t>(a completer)</t>
        </is>
      </c>
      <c r="H5" s="9" t="inlineStr">
        <is>
          <t>Direction</t>
        </is>
      </c>
      <c r="I5" s="12" t="inlineStr">
        <is>
          <t>Pro</t>
        </is>
      </c>
      <c r="J5" s="9" t="n">
        <v>2</v>
      </c>
      <c r="K5" s="7" t="n">
        <v>278</v>
      </c>
      <c r="L5" s="9" t="inlineStr"/>
      <c r="M5" s="9" t="inlineStr"/>
      <c r="N5" s="9" t="inlineStr"/>
      <c r="O5" s="9" t="inlineStr"/>
      <c r="P5" s="9" t="inlineStr"/>
      <c r="Q5" s="10" t="inlineStr">
        <is>
          <t>A contacter</t>
        </is>
      </c>
      <c r="R5" s="8" t="inlineStr">
        <is>
          <t>Priorite 1</t>
        </is>
      </c>
    </row>
    <row r="6" ht="16" customHeight="1">
      <c r="A6" s="4" t="inlineStr">
        <is>
          <t>H03</t>
        </is>
      </c>
      <c r="B6" s="4" t="inlineStr">
        <is>
          <t>Hotellerie</t>
        </is>
      </c>
      <c r="C6" s="4" t="inlineStr">
        <is>
          <t>Hotel Novotel Cayenne</t>
        </is>
      </c>
      <c r="D6" s="4" t="inlineStr">
        <is>
          <t>Cayenne</t>
        </is>
      </c>
      <c r="E6" s="5" t="inlineStr">
        <is>
          <t>Route de Raban, 97300 Cayenne</t>
        </is>
      </c>
      <c r="F6" s="4" t="inlineStr">
        <is>
          <t>+33 5 94 30 19 00</t>
        </is>
      </c>
      <c r="G6" s="11" t="inlineStr">
        <is>
          <t>(a completer)</t>
        </is>
      </c>
      <c r="H6" s="4" t="inlineStr">
        <is>
          <t>Direction</t>
        </is>
      </c>
      <c r="I6" s="6" t="inlineStr">
        <is>
          <t>Premium</t>
        </is>
      </c>
      <c r="J6" s="4" t="n">
        <v>2</v>
      </c>
      <c r="K6" s="7" t="n">
        <v>338</v>
      </c>
      <c r="L6" s="4" t="inlineStr"/>
      <c r="M6" s="4" t="inlineStr"/>
      <c r="N6" s="4" t="inlineStr"/>
      <c r="O6" s="4" t="inlineStr"/>
      <c r="P6" s="4" t="inlineStr"/>
      <c r="Q6" s="5" t="inlineStr">
        <is>
          <t>A contacter</t>
        </is>
      </c>
      <c r="R6" s="8" t="inlineStr">
        <is>
          <t>Priorite 1</t>
        </is>
      </c>
    </row>
    <row r="7" ht="16" customHeight="1">
      <c r="A7" s="9" t="inlineStr">
        <is>
          <t>H04</t>
        </is>
      </c>
      <c r="B7" s="9" t="inlineStr">
        <is>
          <t>Hotellerie</t>
        </is>
      </c>
      <c r="C7" s="9" t="inlineStr">
        <is>
          <t>Hotel Atlantis Kourou</t>
        </is>
      </c>
      <c r="D7" s="9" t="inlineStr">
        <is>
          <t>Kourou</t>
        </is>
      </c>
      <c r="E7" s="10" t="inlineStr">
        <is>
          <t>Boulevard du Bagne, 97310 Kourou</t>
        </is>
      </c>
      <c r="F7" s="9" t="inlineStr">
        <is>
          <t>+33 5 94 32 13 00</t>
        </is>
      </c>
      <c r="G7" s="11" t="inlineStr">
        <is>
          <t>(a completer)</t>
        </is>
      </c>
      <c r="H7" s="9" t="inlineStr">
        <is>
          <t>Direction</t>
        </is>
      </c>
      <c r="I7" s="12" t="inlineStr">
        <is>
          <t>Pro</t>
        </is>
      </c>
      <c r="J7" s="9" t="n">
        <v>2</v>
      </c>
      <c r="K7" s="7" t="n">
        <v>278</v>
      </c>
      <c r="L7" s="9" t="inlineStr"/>
      <c r="M7" s="9" t="inlineStr"/>
      <c r="N7" s="9" t="inlineStr"/>
      <c r="O7" s="9" t="inlineStr"/>
      <c r="P7" s="9" t="inlineStr"/>
      <c r="Q7" s="10" t="inlineStr">
        <is>
          <t>A contacter</t>
        </is>
      </c>
      <c r="R7" s="13" t="inlineStr">
        <is>
          <t>Priorite 2</t>
        </is>
      </c>
    </row>
    <row r="8" ht="16" customHeight="1">
      <c r="A8" s="4" t="inlineStr">
        <is>
          <t>H05</t>
        </is>
      </c>
      <c r="B8" s="4" t="inlineStr">
        <is>
          <t>Hotellerie</t>
        </is>
      </c>
      <c r="C8" s="4" t="inlineStr">
        <is>
          <t>Auberge des Orchidees</t>
        </is>
      </c>
      <c r="D8" s="4" t="inlineStr">
        <is>
          <t>Saint-Laurent-du-Maroni</t>
        </is>
      </c>
      <c r="E8" s="5" t="inlineStr">
        <is>
          <t>Route Nationale 1, 97320 SLM</t>
        </is>
      </c>
      <c r="F8" s="4" t="inlineStr">
        <is>
          <t>+33 5 94 34 00 21</t>
        </is>
      </c>
      <c r="G8" s="11" t="inlineStr">
        <is>
          <t>(a completer)</t>
        </is>
      </c>
      <c r="H8" s="4" t="inlineStr">
        <is>
          <t>Direction</t>
        </is>
      </c>
      <c r="I8" s="14" t="inlineStr">
        <is>
          <t>Standard</t>
        </is>
      </c>
      <c r="J8" s="4" t="n">
        <v>2</v>
      </c>
      <c r="K8" s="7" t="n">
        <v>238</v>
      </c>
      <c r="L8" s="4" t="inlineStr"/>
      <c r="M8" s="4" t="inlineStr"/>
      <c r="N8" s="4" t="inlineStr"/>
      <c r="O8" s="4" t="inlineStr"/>
      <c r="P8" s="4" t="inlineStr"/>
      <c r="Q8" s="5" t="inlineStr">
        <is>
          <t>A contacter</t>
        </is>
      </c>
      <c r="R8" s="15" t="inlineStr">
        <is>
          <t>Priorite 3</t>
        </is>
      </c>
    </row>
    <row r="9" ht="16" customHeight="1">
      <c r="A9" s="9" t="inlineStr">
        <is>
          <t>H06</t>
        </is>
      </c>
      <c r="B9" s="9" t="inlineStr">
        <is>
          <t>Hotellerie</t>
        </is>
      </c>
      <c r="C9" s="9" t="inlineStr">
        <is>
          <t>Hotel Le Grenat Mana</t>
        </is>
      </c>
      <c r="D9" s="9" t="inlineStr">
        <is>
          <t>Mana</t>
        </is>
      </c>
      <c r="E9" s="10" t="inlineStr">
        <is>
          <t>Centre bourg, 97318 Mana</t>
        </is>
      </c>
      <c r="F9" s="11" t="inlineStr">
        <is>
          <t>(a completer)</t>
        </is>
      </c>
      <c r="G9" s="11" t="inlineStr">
        <is>
          <t>(a completer)</t>
        </is>
      </c>
      <c r="H9" s="9" t="inlineStr">
        <is>
          <t>Direction</t>
        </is>
      </c>
      <c r="I9" s="16" t="inlineStr">
        <is>
          <t>Starter</t>
        </is>
      </c>
      <c r="J9" s="9" t="n">
        <v>1</v>
      </c>
      <c r="K9" s="7" t="n">
        <v>89</v>
      </c>
      <c r="L9" s="9" t="inlineStr"/>
      <c r="M9" s="9" t="inlineStr"/>
      <c r="N9" s="9" t="inlineStr"/>
      <c r="O9" s="9" t="inlineStr"/>
      <c r="P9" s="9" t="inlineStr"/>
      <c r="Q9" s="10" t="inlineStr">
        <is>
          <t>A contacter</t>
        </is>
      </c>
      <c r="R9" s="15" t="inlineStr">
        <is>
          <t>Priorite 3</t>
        </is>
      </c>
    </row>
    <row r="10" ht="16" customHeight="1">
      <c r="A10" s="4" t="inlineStr">
        <is>
          <t>D01</t>
        </is>
      </c>
      <c r="B10" s="4" t="inlineStr">
        <is>
          <t>Grande distribution</t>
        </is>
      </c>
      <c r="C10" s="4" t="inlineStr">
        <is>
          <t>Geant Casino Cayenne</t>
        </is>
      </c>
      <c r="D10" s="4" t="inlineStr">
        <is>
          <t>Cayenne</t>
        </is>
      </c>
      <c r="E10" s="5" t="inlineStr">
        <is>
          <t>Avenue Louis-Constant Fleming, 97300 Cayenne</t>
        </is>
      </c>
      <c r="F10" s="4" t="inlineStr">
        <is>
          <t>+33 5 94 25 72 00</t>
        </is>
      </c>
      <c r="G10" s="11" t="inlineStr">
        <is>
          <t>(a completer)</t>
        </is>
      </c>
      <c r="H10" s="4" t="inlineStr">
        <is>
          <t>Responsable commercial</t>
        </is>
      </c>
      <c r="I10" s="6" t="inlineStr">
        <is>
          <t>Premium</t>
        </is>
      </c>
      <c r="J10" s="4" t="n">
        <v>4</v>
      </c>
      <c r="K10" s="7" t="n">
        <v>676</v>
      </c>
      <c r="L10" s="4" t="inlineStr"/>
      <c r="M10" s="4" t="inlineStr"/>
      <c r="N10" s="4" t="inlineStr"/>
      <c r="O10" s="4" t="inlineStr"/>
      <c r="P10" s="4" t="inlineStr"/>
      <c r="Q10" s="5" t="inlineStr">
        <is>
          <t>A contacter</t>
        </is>
      </c>
      <c r="R10" s="8" t="inlineStr">
        <is>
          <t>Priorite 1</t>
        </is>
      </c>
    </row>
    <row r="11" ht="16" customHeight="1">
      <c r="A11" s="9" t="inlineStr">
        <is>
          <t>D02</t>
        </is>
      </c>
      <c r="B11" s="9" t="inlineStr">
        <is>
          <t>Grande distribution</t>
        </is>
      </c>
      <c r="C11" s="9" t="inlineStr">
        <is>
          <t>Carrefour Galeria Cayenne</t>
        </is>
      </c>
      <c r="D11" s="9" t="inlineStr">
        <is>
          <t>Cayenne</t>
        </is>
      </c>
      <c r="E11" s="10" t="inlineStr">
        <is>
          <t>Galeria Shopping Center, 97300 Cayenne</t>
        </is>
      </c>
      <c r="F11" s="9" t="inlineStr">
        <is>
          <t>+33 5 94 29 65 00</t>
        </is>
      </c>
      <c r="G11" s="11" t="inlineStr">
        <is>
          <t>(a completer)</t>
        </is>
      </c>
      <c r="H11" s="9" t="inlineStr">
        <is>
          <t>Responsable commercial</t>
        </is>
      </c>
      <c r="I11" s="6" t="inlineStr">
        <is>
          <t>Premium</t>
        </is>
      </c>
      <c r="J11" s="9" t="n">
        <v>4</v>
      </c>
      <c r="K11" s="7" t="n">
        <v>676</v>
      </c>
      <c r="L11" s="9" t="inlineStr"/>
      <c r="M11" s="9" t="inlineStr"/>
      <c r="N11" s="9" t="inlineStr"/>
      <c r="O11" s="9" t="inlineStr"/>
      <c r="P11" s="9" t="inlineStr"/>
      <c r="Q11" s="10" t="inlineStr">
        <is>
          <t>A contacter</t>
        </is>
      </c>
      <c r="R11" s="8" t="inlineStr">
        <is>
          <t>Priorite 1</t>
        </is>
      </c>
    </row>
    <row r="12" ht="16" customHeight="1">
      <c r="A12" s="4" t="inlineStr">
        <is>
          <t>D03</t>
        </is>
      </c>
      <c r="B12" s="4" t="inlineStr">
        <is>
          <t>Grande distribution</t>
        </is>
      </c>
      <c r="C12" s="4" t="inlineStr">
        <is>
          <t>Family Plaza Matoury</t>
        </is>
      </c>
      <c r="D12" s="4" t="inlineStr">
        <is>
          <t>Matoury</t>
        </is>
      </c>
      <c r="E12" s="5" t="inlineStr">
        <is>
          <t>Zone commerciale, 97351 Matoury</t>
        </is>
      </c>
      <c r="F12" s="4" t="inlineStr">
        <is>
          <t>+33 5 94 35 86 00</t>
        </is>
      </c>
      <c r="G12" s="11" t="inlineStr">
        <is>
          <t>(a completer)</t>
        </is>
      </c>
      <c r="H12" s="4" t="inlineStr">
        <is>
          <t>Direction</t>
        </is>
      </c>
      <c r="I12" s="12" t="inlineStr">
        <is>
          <t>Pro</t>
        </is>
      </c>
      <c r="J12" s="4" t="n">
        <v>2</v>
      </c>
      <c r="K12" s="7" t="n">
        <v>278</v>
      </c>
      <c r="L12" s="4" t="inlineStr"/>
      <c r="M12" s="4" t="inlineStr"/>
      <c r="N12" s="4" t="inlineStr"/>
      <c r="O12" s="4" t="inlineStr"/>
      <c r="P12" s="4" t="inlineStr"/>
      <c r="Q12" s="5" t="inlineStr">
        <is>
          <t>A contacter</t>
        </is>
      </c>
      <c r="R12" s="8" t="inlineStr">
        <is>
          <t>Priorite 1</t>
        </is>
      </c>
    </row>
    <row r="13" ht="16" customHeight="1">
      <c r="A13" s="9" t="inlineStr">
        <is>
          <t>D04</t>
        </is>
      </c>
      <c r="B13" s="9" t="inlineStr">
        <is>
          <t>Grande distribution</t>
        </is>
      </c>
      <c r="C13" s="9" t="inlineStr">
        <is>
          <t>Hyper U Remire-Montjoly</t>
        </is>
      </c>
      <c r="D13" s="9" t="inlineStr">
        <is>
          <t>Remire-Montjoly</t>
        </is>
      </c>
      <c r="E13" s="10" t="inlineStr">
        <is>
          <t>Route de Montjoly, 97354 Remire-Montjoly</t>
        </is>
      </c>
      <c r="F13" s="11" t="inlineStr">
        <is>
          <t>(a completer)</t>
        </is>
      </c>
      <c r="G13" s="11" t="inlineStr">
        <is>
          <t>(a completer)</t>
        </is>
      </c>
      <c r="H13" s="9" t="inlineStr">
        <is>
          <t>Direction</t>
        </is>
      </c>
      <c r="I13" s="12" t="inlineStr">
        <is>
          <t>Pro</t>
        </is>
      </c>
      <c r="J13" s="9" t="n">
        <v>2</v>
      </c>
      <c r="K13" s="7" t="n">
        <v>278</v>
      </c>
      <c r="L13" s="9" t="inlineStr"/>
      <c r="M13" s="9" t="inlineStr"/>
      <c r="N13" s="9" t="inlineStr"/>
      <c r="O13" s="9" t="inlineStr"/>
      <c r="P13" s="9" t="inlineStr"/>
      <c r="Q13" s="10" t="inlineStr">
        <is>
          <t>A contacter</t>
        </is>
      </c>
      <c r="R13" s="13" t="inlineStr">
        <is>
          <t>Priorite 2</t>
        </is>
      </c>
    </row>
    <row r="14" ht="16" customHeight="1">
      <c r="A14" s="4" t="inlineStr">
        <is>
          <t>D05</t>
        </is>
      </c>
      <c r="B14" s="4" t="inlineStr">
        <is>
          <t>Grande distribution</t>
        </is>
      </c>
      <c r="C14" s="4" t="inlineStr">
        <is>
          <t>Leader Price Kourou</t>
        </is>
      </c>
      <c r="D14" s="4" t="inlineStr">
        <is>
          <t>Kourou</t>
        </is>
      </c>
      <c r="E14" s="5" t="inlineStr">
        <is>
          <t>Cite Mirza, 97310 Kourou</t>
        </is>
      </c>
      <c r="F14" s="11" t="inlineStr">
        <is>
          <t>(a completer)</t>
        </is>
      </c>
      <c r="G14" s="11" t="inlineStr">
        <is>
          <t>(a completer)</t>
        </is>
      </c>
      <c r="H14" s="4" t="inlineStr">
        <is>
          <t>Direction</t>
        </is>
      </c>
      <c r="I14" s="14" t="inlineStr">
        <is>
          <t>Standard</t>
        </is>
      </c>
      <c r="J14" s="4" t="n">
        <v>2</v>
      </c>
      <c r="K14" s="7" t="n">
        <v>238</v>
      </c>
      <c r="L14" s="4" t="inlineStr"/>
      <c r="M14" s="4" t="inlineStr"/>
      <c r="N14" s="4" t="inlineStr"/>
      <c r="O14" s="4" t="inlineStr"/>
      <c r="P14" s="4" t="inlineStr"/>
      <c r="Q14" s="5" t="inlineStr">
        <is>
          <t>A contacter</t>
        </is>
      </c>
      <c r="R14" s="13" t="inlineStr">
        <is>
          <t>Priorite 2</t>
        </is>
      </c>
    </row>
    <row r="15" ht="16" customHeight="1">
      <c r="A15" s="9" t="inlineStr">
        <is>
          <t>A01</t>
        </is>
      </c>
      <c r="B15" s="9" t="inlineStr">
        <is>
          <t>Automobile</t>
        </is>
      </c>
      <c r="C15" s="9" t="inlineStr">
        <is>
          <t>Sodirep (Renault-Dacia)</t>
        </is>
      </c>
      <c r="D15" s="9" t="inlineStr">
        <is>
          <t>Cayenne</t>
        </is>
      </c>
      <c r="E15" s="10" t="inlineStr">
        <is>
          <t>Route de Baduel, 97300 Cayenne</t>
        </is>
      </c>
      <c r="F15" s="9" t="inlineStr">
        <is>
          <t>+33 5 94 31 09 09</t>
        </is>
      </c>
      <c r="G15" s="11" t="inlineStr">
        <is>
          <t>(a completer)</t>
        </is>
      </c>
      <c r="H15" s="9" t="inlineStr">
        <is>
          <t>Chef des ventes</t>
        </is>
      </c>
      <c r="I15" s="6" t="inlineStr">
        <is>
          <t>Premium</t>
        </is>
      </c>
      <c r="J15" s="9" t="n">
        <v>4</v>
      </c>
      <c r="K15" s="7" t="n">
        <v>676</v>
      </c>
      <c r="L15" s="9" t="inlineStr"/>
      <c r="M15" s="9" t="inlineStr"/>
      <c r="N15" s="9" t="inlineStr"/>
      <c r="O15" s="9" t="inlineStr"/>
      <c r="P15" s="9" t="inlineStr"/>
      <c r="Q15" s="10" t="inlineStr">
        <is>
          <t>A contacter</t>
        </is>
      </c>
      <c r="R15" s="8" t="inlineStr">
        <is>
          <t>Priorite 1</t>
        </is>
      </c>
    </row>
    <row r="16" ht="16" customHeight="1">
      <c r="A16" s="4" t="inlineStr">
        <is>
          <t>A02</t>
        </is>
      </c>
      <c r="B16" s="4" t="inlineStr">
        <is>
          <t>Automobile</t>
        </is>
      </c>
      <c r="C16" s="4" t="inlineStr">
        <is>
          <t>Polygone (Peugeot-Citroen)</t>
        </is>
      </c>
      <c r="D16" s="4" t="inlineStr">
        <is>
          <t>Cayenne</t>
        </is>
      </c>
      <c r="E16" s="5" t="inlineStr">
        <is>
          <t>Route Nationale 1, 97300 Cayenne</t>
        </is>
      </c>
      <c r="F16" s="4" t="inlineStr">
        <is>
          <t>+33 5 94 25 58 00</t>
        </is>
      </c>
      <c r="G16" s="11" t="inlineStr">
        <is>
          <t>(a completer)</t>
        </is>
      </c>
      <c r="H16" s="4" t="inlineStr">
        <is>
          <t>Chef des ventes</t>
        </is>
      </c>
      <c r="I16" s="6" t="inlineStr">
        <is>
          <t>Premium</t>
        </is>
      </c>
      <c r="J16" s="4" t="n">
        <v>4</v>
      </c>
      <c r="K16" s="7" t="n">
        <v>676</v>
      </c>
      <c r="L16" s="4" t="inlineStr"/>
      <c r="M16" s="4" t="inlineStr"/>
      <c r="N16" s="4" t="inlineStr"/>
      <c r="O16" s="4" t="inlineStr"/>
      <c r="P16" s="4" t="inlineStr"/>
      <c r="Q16" s="5" t="inlineStr">
        <is>
          <t>A contacter</t>
        </is>
      </c>
      <c r="R16" s="8" t="inlineStr">
        <is>
          <t>Priorite 1</t>
        </is>
      </c>
    </row>
    <row r="17" ht="16" customHeight="1">
      <c r="A17" s="9" t="inlineStr">
        <is>
          <t>A03</t>
        </is>
      </c>
      <c r="B17" s="9" t="inlineStr">
        <is>
          <t>Automobile</t>
        </is>
      </c>
      <c r="C17" s="9" t="inlineStr">
        <is>
          <t>Toyota Guyane</t>
        </is>
      </c>
      <c r="D17" s="9" t="inlineStr">
        <is>
          <t>Cayenne</t>
        </is>
      </c>
      <c r="E17" s="10" t="inlineStr">
        <is>
          <t>Route de la Chaumiere, 97300 Cayenne</t>
        </is>
      </c>
      <c r="F17" s="9" t="inlineStr">
        <is>
          <t>+33 5 94 38 00 00</t>
        </is>
      </c>
      <c r="G17" s="11" t="inlineStr">
        <is>
          <t>(a completer)</t>
        </is>
      </c>
      <c r="H17" s="9" t="inlineStr">
        <is>
          <t>Direction</t>
        </is>
      </c>
      <c r="I17" s="12" t="inlineStr">
        <is>
          <t>Pro</t>
        </is>
      </c>
      <c r="J17" s="9" t="n">
        <v>2</v>
      </c>
      <c r="K17" s="7" t="n">
        <v>278</v>
      </c>
      <c r="L17" s="9" t="inlineStr"/>
      <c r="M17" s="9" t="inlineStr"/>
      <c r="N17" s="9" t="inlineStr"/>
      <c r="O17" s="9" t="inlineStr"/>
      <c r="P17" s="9" t="inlineStr"/>
      <c r="Q17" s="10" t="inlineStr">
        <is>
          <t>A contacter</t>
        </is>
      </c>
      <c r="R17" s="8" t="inlineStr">
        <is>
          <t>Priorite 1</t>
        </is>
      </c>
    </row>
    <row r="18" ht="16" customHeight="1">
      <c r="A18" s="4" t="inlineStr">
        <is>
          <t>A04</t>
        </is>
      </c>
      <c r="B18" s="4" t="inlineStr">
        <is>
          <t>Automobile</t>
        </is>
      </c>
      <c r="C18" s="4" t="inlineStr">
        <is>
          <t>Volkswagen Guyane (GDS)</t>
        </is>
      </c>
      <c r="D18" s="4" t="inlineStr">
        <is>
          <t>Cayenne</t>
        </is>
      </c>
      <c r="E18" s="5" t="inlineStr">
        <is>
          <t>Route de Baduel, 97300 Cayenne</t>
        </is>
      </c>
      <c r="F18" s="11" t="inlineStr">
        <is>
          <t>(a completer)</t>
        </is>
      </c>
      <c r="G18" s="11" t="inlineStr">
        <is>
          <t>(a completer)</t>
        </is>
      </c>
      <c r="H18" s="4" t="inlineStr">
        <is>
          <t>Direction</t>
        </is>
      </c>
      <c r="I18" s="12" t="inlineStr">
        <is>
          <t>Pro</t>
        </is>
      </c>
      <c r="J18" s="4" t="n">
        <v>2</v>
      </c>
      <c r="K18" s="7" t="n">
        <v>278</v>
      </c>
      <c r="L18" s="4" t="inlineStr"/>
      <c r="M18" s="4" t="inlineStr"/>
      <c r="N18" s="4" t="inlineStr"/>
      <c r="O18" s="4" t="inlineStr"/>
      <c r="P18" s="4" t="inlineStr"/>
      <c r="Q18" s="5" t="inlineStr">
        <is>
          <t>A contacter</t>
        </is>
      </c>
      <c r="R18" s="13" t="inlineStr">
        <is>
          <t>Priorite 2</t>
        </is>
      </c>
    </row>
    <row r="19" ht="16" customHeight="1">
      <c r="A19" s="9" t="inlineStr">
        <is>
          <t>A05</t>
        </is>
      </c>
      <c r="B19" s="9" t="inlineStr">
        <is>
          <t>Automobile</t>
        </is>
      </c>
      <c r="C19" s="9" t="inlineStr">
        <is>
          <t>Hyundai Guyane</t>
        </is>
      </c>
      <c r="D19" s="9" t="inlineStr">
        <is>
          <t>Remire-Montjoly</t>
        </is>
      </c>
      <c r="E19" s="10" t="inlineStr">
        <is>
          <t>Route de l'Arsenal, 97354 Remire-Montjoly</t>
        </is>
      </c>
      <c r="F19" s="11" t="inlineStr">
        <is>
          <t>(a completer)</t>
        </is>
      </c>
      <c r="G19" s="11" t="inlineStr">
        <is>
          <t>(a completer)</t>
        </is>
      </c>
      <c r="H19" s="9" t="inlineStr">
        <is>
          <t>Direction</t>
        </is>
      </c>
      <c r="I19" s="14" t="inlineStr">
        <is>
          <t>Standard</t>
        </is>
      </c>
      <c r="J19" s="9" t="n">
        <v>2</v>
      </c>
      <c r="K19" s="7" t="n">
        <v>238</v>
      </c>
      <c r="L19" s="9" t="inlineStr"/>
      <c r="M19" s="9" t="inlineStr"/>
      <c r="N19" s="9" t="inlineStr"/>
      <c r="O19" s="9" t="inlineStr"/>
      <c r="P19" s="9" t="inlineStr"/>
      <c r="Q19" s="10" t="inlineStr">
        <is>
          <t>A contacter</t>
        </is>
      </c>
      <c r="R19" s="13" t="inlineStr">
        <is>
          <t>Priorite 2</t>
        </is>
      </c>
    </row>
    <row r="20" ht="16" customHeight="1">
      <c r="A20" s="4" t="inlineStr">
        <is>
          <t>A06</t>
        </is>
      </c>
      <c r="B20" s="4" t="inlineStr">
        <is>
          <t>Automobile</t>
        </is>
      </c>
      <c r="C20" s="4" t="inlineStr">
        <is>
          <t>BYD / Tesla reseller Guyane</t>
        </is>
      </c>
      <c r="D20" s="4" t="inlineStr">
        <is>
          <t>Cayenne</t>
        </is>
      </c>
      <c r="E20" s="5" t="inlineStr">
        <is>
          <t>(a identifier)</t>
        </is>
      </c>
      <c r="F20" s="11" t="inlineStr">
        <is>
          <t>(a completer)</t>
        </is>
      </c>
      <c r="G20" s="11" t="inlineStr">
        <is>
          <t>(a completer)</t>
        </is>
      </c>
      <c r="H20" s="4" t="inlineStr">
        <is>
          <t>Direction</t>
        </is>
      </c>
      <c r="I20" s="12" t="inlineStr">
        <is>
          <t>Pro</t>
        </is>
      </c>
      <c r="J20" s="4" t="n">
        <v>2</v>
      </c>
      <c r="K20" s="7" t="n">
        <v>278</v>
      </c>
      <c r="L20" s="4" t="inlineStr"/>
      <c r="M20" s="4" t="inlineStr"/>
      <c r="N20" s="4" t="inlineStr"/>
      <c r="O20" s="4" t="inlineStr"/>
      <c r="P20" s="4" t="inlineStr"/>
      <c r="Q20" s="5" t="inlineStr">
        <is>
          <t>A contacter</t>
        </is>
      </c>
      <c r="R20" s="8" t="inlineStr">
        <is>
          <t>Priorite 1</t>
        </is>
      </c>
    </row>
    <row r="21" ht="16" customHeight="1">
      <c r="A21" s="9" t="inlineStr">
        <is>
          <t>L01</t>
        </is>
      </c>
      <c r="B21" s="9" t="inlineStr">
        <is>
          <t>Location vehicules</t>
        </is>
      </c>
      <c r="C21" s="9" t="inlineStr">
        <is>
          <t>Avis Car Rental Guyane</t>
        </is>
      </c>
      <c r="D21" s="9" t="inlineStr">
        <is>
          <t>Cayenne</t>
        </is>
      </c>
      <c r="E21" s="10" t="inlineStr">
        <is>
          <t>Aeroport Felix Eboue, 97351 Matoury</t>
        </is>
      </c>
      <c r="F21" s="9" t="inlineStr">
        <is>
          <t>+33 5 94 35 61 40</t>
        </is>
      </c>
      <c r="G21" s="11" t="inlineStr">
        <is>
          <t>(a completer)</t>
        </is>
      </c>
      <c r="H21" s="9" t="inlineStr">
        <is>
          <t>Responsable agence</t>
        </is>
      </c>
      <c r="I21" s="14" t="inlineStr">
        <is>
          <t>Standard</t>
        </is>
      </c>
      <c r="J21" s="9" t="n">
        <v>4</v>
      </c>
      <c r="K21" s="7" t="n">
        <v>476</v>
      </c>
      <c r="L21" s="9" t="inlineStr"/>
      <c r="M21" s="9" t="inlineStr"/>
      <c r="N21" s="9" t="inlineStr"/>
      <c r="O21" s="9" t="inlineStr"/>
      <c r="P21" s="9" t="inlineStr"/>
      <c r="Q21" s="10" t="inlineStr">
        <is>
          <t>A contacter</t>
        </is>
      </c>
      <c r="R21" s="8" t="inlineStr">
        <is>
          <t>Priorite 1</t>
        </is>
      </c>
    </row>
    <row r="22" ht="16" customHeight="1">
      <c r="A22" s="4" t="inlineStr">
        <is>
          <t>L02</t>
        </is>
      </c>
      <c r="B22" s="4" t="inlineStr">
        <is>
          <t>Location vehicules</t>
        </is>
      </c>
      <c r="C22" s="4" t="inlineStr">
        <is>
          <t>Europcar Guyane</t>
        </is>
      </c>
      <c r="D22" s="4" t="inlineStr">
        <is>
          <t>Cayenne</t>
        </is>
      </c>
      <c r="E22" s="5" t="inlineStr">
        <is>
          <t>Aeroport Felix Eboue, 97351 Matoury</t>
        </is>
      </c>
      <c r="F22" s="4" t="inlineStr">
        <is>
          <t>+33 5 94 35 63 13</t>
        </is>
      </c>
      <c r="G22" s="11" t="inlineStr">
        <is>
          <t>(a completer)</t>
        </is>
      </c>
      <c r="H22" s="4" t="inlineStr">
        <is>
          <t>Responsable agence</t>
        </is>
      </c>
      <c r="I22" s="14" t="inlineStr">
        <is>
          <t>Standard</t>
        </is>
      </c>
      <c r="J22" s="4" t="n">
        <v>4</v>
      </c>
      <c r="K22" s="7" t="n">
        <v>476</v>
      </c>
      <c r="L22" s="4" t="inlineStr"/>
      <c r="M22" s="4" t="inlineStr"/>
      <c r="N22" s="4" t="inlineStr"/>
      <c r="O22" s="4" t="inlineStr"/>
      <c r="P22" s="4" t="inlineStr"/>
      <c r="Q22" s="5" t="inlineStr">
        <is>
          <t>A contacter</t>
        </is>
      </c>
      <c r="R22" s="8" t="inlineStr">
        <is>
          <t>Priorite 1</t>
        </is>
      </c>
    </row>
    <row r="23" ht="16" customHeight="1">
      <c r="A23" s="9" t="inlineStr">
        <is>
          <t>L03</t>
        </is>
      </c>
      <c r="B23" s="9" t="inlineStr">
        <is>
          <t>Location vehicules</t>
        </is>
      </c>
      <c r="C23" s="9" t="inlineStr">
        <is>
          <t>Hertz Guyane</t>
        </is>
      </c>
      <c r="D23" s="9" t="inlineStr">
        <is>
          <t>Cayenne</t>
        </is>
      </c>
      <c r="E23" s="10" t="inlineStr">
        <is>
          <t>Aeroport Felix Eboue, 97351 Matoury</t>
        </is>
      </c>
      <c r="F23" s="9" t="inlineStr">
        <is>
          <t>+33 5 94 35 64 64</t>
        </is>
      </c>
      <c r="G23" s="11" t="inlineStr">
        <is>
          <t>(a completer)</t>
        </is>
      </c>
      <c r="H23" s="9" t="inlineStr">
        <is>
          <t>Responsable agence</t>
        </is>
      </c>
      <c r="I23" s="14" t="inlineStr">
        <is>
          <t>Standard</t>
        </is>
      </c>
      <c r="J23" s="9" t="n">
        <v>4</v>
      </c>
      <c r="K23" s="7" t="n">
        <v>476</v>
      </c>
      <c r="L23" s="9" t="inlineStr"/>
      <c r="M23" s="9" t="inlineStr"/>
      <c r="N23" s="9" t="inlineStr"/>
      <c r="O23" s="9" t="inlineStr"/>
      <c r="P23" s="9" t="inlineStr"/>
      <c r="Q23" s="10" t="inlineStr">
        <is>
          <t>A contacter</t>
        </is>
      </c>
      <c r="R23" s="8" t="inlineStr">
        <is>
          <t>Priorite 1</t>
        </is>
      </c>
    </row>
    <row r="24" ht="16" customHeight="1">
      <c r="A24" s="4" t="inlineStr">
        <is>
          <t>L04</t>
        </is>
      </c>
      <c r="B24" s="4" t="inlineStr">
        <is>
          <t>Location vehicules</t>
        </is>
      </c>
      <c r="C24" s="4" t="inlineStr">
        <is>
          <t>Sixt Guyane</t>
        </is>
      </c>
      <c r="D24" s="4" t="inlineStr">
        <is>
          <t>Cayenne</t>
        </is>
      </c>
      <c r="E24" s="5" t="inlineStr">
        <is>
          <t>Zone commerciale Degrad des Cannes</t>
        </is>
      </c>
      <c r="F24" s="11" t="inlineStr">
        <is>
          <t>(a completer)</t>
        </is>
      </c>
      <c r="G24" s="11" t="inlineStr">
        <is>
          <t>(a completer)</t>
        </is>
      </c>
      <c r="H24" s="4" t="inlineStr">
        <is>
          <t>Responsable agence</t>
        </is>
      </c>
      <c r="I24" s="14" t="inlineStr">
        <is>
          <t>Standard</t>
        </is>
      </c>
      <c r="J24" s="4" t="n">
        <v>2</v>
      </c>
      <c r="K24" s="7" t="n">
        <v>238</v>
      </c>
      <c r="L24" s="4" t="inlineStr"/>
      <c r="M24" s="4" t="inlineStr"/>
      <c r="N24" s="4" t="inlineStr"/>
      <c r="O24" s="4" t="inlineStr"/>
      <c r="P24" s="4" t="inlineStr"/>
      <c r="Q24" s="5" t="inlineStr">
        <is>
          <t>A contacter</t>
        </is>
      </c>
      <c r="R24" s="13" t="inlineStr">
        <is>
          <t>Priorite 2</t>
        </is>
      </c>
    </row>
    <row r="25" ht="16" customHeight="1">
      <c r="A25" s="9" t="inlineStr">
        <is>
          <t>L05</t>
        </is>
      </c>
      <c r="B25" s="9" t="inlineStr">
        <is>
          <t>Location vehicules</t>
        </is>
      </c>
      <c r="C25" s="9" t="inlineStr">
        <is>
          <t>ADA Location Guyane</t>
        </is>
      </c>
      <c r="D25" s="9" t="inlineStr">
        <is>
          <t>Cayenne</t>
        </is>
      </c>
      <c r="E25" s="10" t="inlineStr">
        <is>
          <t>Route de Baduel, 97300 Cayenne</t>
        </is>
      </c>
      <c r="F25" s="11" t="inlineStr">
        <is>
          <t>(a completer)</t>
        </is>
      </c>
      <c r="G25" s="11" t="inlineStr">
        <is>
          <t>(a completer)</t>
        </is>
      </c>
      <c r="H25" s="9" t="inlineStr">
        <is>
          <t>Responsable</t>
        </is>
      </c>
      <c r="I25" s="16" t="inlineStr">
        <is>
          <t>Starter</t>
        </is>
      </c>
      <c r="J25" s="9" t="n">
        <v>2</v>
      </c>
      <c r="K25" s="7" t="n">
        <v>178</v>
      </c>
      <c r="L25" s="9" t="inlineStr"/>
      <c r="M25" s="9" t="inlineStr"/>
      <c r="N25" s="9" t="inlineStr"/>
      <c r="O25" s="9" t="inlineStr"/>
      <c r="P25" s="9" t="inlineStr"/>
      <c r="Q25" s="10" t="inlineStr">
        <is>
          <t>A contacter</t>
        </is>
      </c>
      <c r="R25" s="13" t="inlineStr">
        <is>
          <t>Priorite 2</t>
        </is>
      </c>
    </row>
    <row r="26" ht="16" customHeight="1">
      <c r="A26" s="4" t="inlineStr">
        <is>
          <t>B01</t>
        </is>
      </c>
      <c r="B26" s="4" t="inlineStr">
        <is>
          <t>Banque / Assurance</t>
        </is>
      </c>
      <c r="C26" s="4" t="inlineStr">
        <is>
          <t>Credit Agricole Guyane</t>
        </is>
      </c>
      <c r="D26" s="4" t="inlineStr">
        <is>
          <t>Cayenne</t>
        </is>
      </c>
      <c r="E26" s="5" t="inlineStr">
        <is>
          <t>5 avenue du General de Gaulle, 97300 Cayenne</t>
        </is>
      </c>
      <c r="F26" s="4" t="inlineStr">
        <is>
          <t>+33 5 94 29 29 29</t>
        </is>
      </c>
      <c r="G26" s="4" t="inlineStr">
        <is>
          <t>contact@caguyane.fr</t>
        </is>
      </c>
      <c r="H26" s="4" t="inlineStr">
        <is>
          <t>Directeur regional</t>
        </is>
      </c>
      <c r="I26" s="12" t="inlineStr">
        <is>
          <t>Pro</t>
        </is>
      </c>
      <c r="J26" s="4" t="n">
        <v>2</v>
      </c>
      <c r="K26" s="7" t="n">
        <v>278</v>
      </c>
      <c r="L26" s="4" t="inlineStr"/>
      <c r="M26" s="4" t="inlineStr"/>
      <c r="N26" s="4" t="inlineStr"/>
      <c r="O26" s="4" t="inlineStr"/>
      <c r="P26" s="4" t="inlineStr"/>
      <c r="Q26" s="5" t="inlineStr">
        <is>
          <t>A contacter</t>
        </is>
      </c>
      <c r="R26" s="13" t="inlineStr">
        <is>
          <t>Priorite 2</t>
        </is>
      </c>
    </row>
    <row r="27" ht="16" customHeight="1">
      <c r="A27" s="9" t="inlineStr">
        <is>
          <t>B02</t>
        </is>
      </c>
      <c r="B27" s="9" t="inlineStr">
        <is>
          <t>Banque / Assurance</t>
        </is>
      </c>
      <c r="C27" s="9" t="inlineStr">
        <is>
          <t>BRED Banque Populaire Guyane</t>
        </is>
      </c>
      <c r="D27" s="9" t="inlineStr">
        <is>
          <t>Cayenne</t>
        </is>
      </c>
      <c r="E27" s="10" t="inlineStr">
        <is>
          <t>2 place des Palmistes, 97300 Cayenne</t>
        </is>
      </c>
      <c r="F27" s="9" t="inlineStr">
        <is>
          <t>+33 5 94 30 10 00</t>
        </is>
      </c>
      <c r="G27" s="11" t="inlineStr">
        <is>
          <t>(a completer)</t>
        </is>
      </c>
      <c r="H27" s="9" t="inlineStr">
        <is>
          <t>Direction agence</t>
        </is>
      </c>
      <c r="I27" s="14" t="inlineStr">
        <is>
          <t>Standard</t>
        </is>
      </c>
      <c r="J27" s="9" t="n">
        <v>2</v>
      </c>
      <c r="K27" s="7" t="n">
        <v>238</v>
      </c>
      <c r="L27" s="9" t="inlineStr"/>
      <c r="M27" s="9" t="inlineStr"/>
      <c r="N27" s="9" t="inlineStr"/>
      <c r="O27" s="9" t="inlineStr"/>
      <c r="P27" s="9" t="inlineStr"/>
      <c r="Q27" s="10" t="inlineStr">
        <is>
          <t>A contacter</t>
        </is>
      </c>
      <c r="R27" s="13" t="inlineStr">
        <is>
          <t>Priorite 2</t>
        </is>
      </c>
    </row>
    <row r="28" ht="16" customHeight="1">
      <c r="A28" s="4" t="inlineStr">
        <is>
          <t>B03</t>
        </is>
      </c>
      <c r="B28" s="4" t="inlineStr">
        <is>
          <t>Banque / Assurance</t>
        </is>
      </c>
      <c r="C28" s="4" t="inlineStr">
        <is>
          <t>Societe Generale Guyane</t>
        </is>
      </c>
      <c r="D28" s="4" t="inlineStr">
        <is>
          <t>Cayenne</t>
        </is>
      </c>
      <c r="E28" s="5" t="inlineStr">
        <is>
          <t>Place Schoelcher, 97300 Cayenne</t>
        </is>
      </c>
      <c r="F28" s="4" t="inlineStr">
        <is>
          <t>+33 5 94 31 20 20</t>
        </is>
      </c>
      <c r="G28" s="11" t="inlineStr">
        <is>
          <t>(a completer)</t>
        </is>
      </c>
      <c r="H28" s="4" t="inlineStr">
        <is>
          <t>Direction agence</t>
        </is>
      </c>
      <c r="I28" s="14" t="inlineStr">
        <is>
          <t>Standard</t>
        </is>
      </c>
      <c r="J28" s="4" t="n">
        <v>2</v>
      </c>
      <c r="K28" s="7" t="n">
        <v>238</v>
      </c>
      <c r="L28" s="4" t="inlineStr"/>
      <c r="M28" s="4" t="inlineStr"/>
      <c r="N28" s="4" t="inlineStr"/>
      <c r="O28" s="4" t="inlineStr"/>
      <c r="P28" s="4" t="inlineStr"/>
      <c r="Q28" s="5" t="inlineStr">
        <is>
          <t>A contacter</t>
        </is>
      </c>
      <c r="R28" s="13" t="inlineStr">
        <is>
          <t>Priorite 2</t>
        </is>
      </c>
    </row>
    <row r="29" ht="16" customHeight="1">
      <c r="A29" s="9" t="inlineStr">
        <is>
          <t>B04</t>
        </is>
      </c>
      <c r="B29" s="9" t="inlineStr">
        <is>
          <t>Banque / Assurance</t>
        </is>
      </c>
      <c r="C29" s="9" t="inlineStr">
        <is>
          <t>BNC Guyane</t>
        </is>
      </c>
      <c r="D29" s="9" t="inlineStr">
        <is>
          <t>Cayenne</t>
        </is>
      </c>
      <c r="E29" s="10" t="inlineStr">
        <is>
          <t>Cite Mirza, 97300 Cayenne</t>
        </is>
      </c>
      <c r="F29" s="11" t="inlineStr">
        <is>
          <t>(a completer)</t>
        </is>
      </c>
      <c r="G29" s="11" t="inlineStr">
        <is>
          <t>(a completer)</t>
        </is>
      </c>
      <c r="H29" s="9" t="inlineStr">
        <is>
          <t>Direction</t>
        </is>
      </c>
      <c r="I29" s="16" t="inlineStr">
        <is>
          <t>Starter</t>
        </is>
      </c>
      <c r="J29" s="9" t="n">
        <v>2</v>
      </c>
      <c r="K29" s="7" t="n">
        <v>178</v>
      </c>
      <c r="L29" s="9" t="inlineStr"/>
      <c r="M29" s="9" t="inlineStr"/>
      <c r="N29" s="9" t="inlineStr"/>
      <c r="O29" s="9" t="inlineStr"/>
      <c r="P29" s="9" t="inlineStr"/>
      <c r="Q29" s="10" t="inlineStr">
        <is>
          <t>A contacter</t>
        </is>
      </c>
      <c r="R29" s="15" t="inlineStr">
        <is>
          <t>Priorite 3</t>
        </is>
      </c>
    </row>
    <row r="30" ht="16" customHeight="1">
      <c r="A30" s="4" t="inlineStr">
        <is>
          <t>S01</t>
        </is>
      </c>
      <c r="B30" s="4" t="inlineStr">
        <is>
          <t>Sante</t>
        </is>
      </c>
      <c r="C30" s="4" t="inlineStr">
        <is>
          <t>CHAR — Centre Hosp. Andrée Rosemon</t>
        </is>
      </c>
      <c r="D30" s="4" t="inlineStr">
        <is>
          <t>Cayenne</t>
        </is>
      </c>
      <c r="E30" s="5" t="inlineStr">
        <is>
          <t>Rue des Flamboyants, 97300 Cayenne</t>
        </is>
      </c>
      <c r="F30" s="4" t="inlineStr">
        <is>
          <t>+33 5 94 39 50 50</t>
        </is>
      </c>
      <c r="G30" s="11" t="inlineStr">
        <is>
          <t>(a completer)</t>
        </is>
      </c>
      <c r="H30" s="4" t="inlineStr">
        <is>
          <t>Direction technique</t>
        </is>
      </c>
      <c r="I30" s="12" t="inlineStr">
        <is>
          <t>Pro</t>
        </is>
      </c>
      <c r="J30" s="4" t="n">
        <v>4</v>
      </c>
      <c r="K30" s="7" t="n">
        <v>556</v>
      </c>
      <c r="L30" s="4" t="inlineStr"/>
      <c r="M30" s="4" t="inlineStr"/>
      <c r="N30" s="4" t="inlineStr"/>
      <c r="O30" s="4" t="inlineStr"/>
      <c r="P30" s="4" t="inlineStr"/>
      <c r="Q30" s="5" t="inlineStr">
        <is>
          <t>A contacter</t>
        </is>
      </c>
      <c r="R30" s="13" t="inlineStr">
        <is>
          <t>Priorite 2</t>
        </is>
      </c>
    </row>
    <row r="31" ht="16" customHeight="1">
      <c r="A31" s="9" t="inlineStr">
        <is>
          <t>S02</t>
        </is>
      </c>
      <c r="B31" s="9" t="inlineStr">
        <is>
          <t>Sante</t>
        </is>
      </c>
      <c r="C31" s="9" t="inlineStr">
        <is>
          <t>CHK — Centre Hosp. de Kourou</t>
        </is>
      </c>
      <c r="D31" s="9" t="inlineStr">
        <is>
          <t>Kourou</t>
        </is>
      </c>
      <c r="E31" s="10" t="inlineStr">
        <is>
          <t>Quartier Cogneau, 97310 Kourou</t>
        </is>
      </c>
      <c r="F31" s="9" t="inlineStr">
        <is>
          <t>+33 5 94 22 42 42</t>
        </is>
      </c>
      <c r="G31" s="11" t="inlineStr">
        <is>
          <t>(a completer)</t>
        </is>
      </c>
      <c r="H31" s="9" t="inlineStr">
        <is>
          <t>Direction technique</t>
        </is>
      </c>
      <c r="I31" s="14" t="inlineStr">
        <is>
          <t>Standard</t>
        </is>
      </c>
      <c r="J31" s="9" t="n">
        <v>2</v>
      </c>
      <c r="K31" s="7" t="n">
        <v>238</v>
      </c>
      <c r="L31" s="9" t="inlineStr"/>
      <c r="M31" s="9" t="inlineStr"/>
      <c r="N31" s="9" t="inlineStr"/>
      <c r="O31" s="9" t="inlineStr"/>
      <c r="P31" s="9" t="inlineStr"/>
      <c r="Q31" s="10" t="inlineStr">
        <is>
          <t>A contacter</t>
        </is>
      </c>
      <c r="R31" s="13" t="inlineStr">
        <is>
          <t>Priorite 2</t>
        </is>
      </c>
    </row>
    <row r="32" ht="16" customHeight="1">
      <c r="A32" s="4" t="inlineStr">
        <is>
          <t>S03</t>
        </is>
      </c>
      <c r="B32" s="4" t="inlineStr">
        <is>
          <t>Sante</t>
        </is>
      </c>
      <c r="C32" s="4" t="inlineStr">
        <is>
          <t>Hopital de Saint-Laurent-du-Maroni</t>
        </is>
      </c>
      <c r="D32" s="4" t="inlineStr">
        <is>
          <t>Saint-Laurent-du-Maroni</t>
        </is>
      </c>
      <c r="E32" s="5" t="inlineStr">
        <is>
          <t>Avenue du General de Gaulle, 97320 SLM</t>
        </is>
      </c>
      <c r="F32" s="4" t="inlineStr">
        <is>
          <t>+33 5 94 34 00 11</t>
        </is>
      </c>
      <c r="G32" s="11" t="inlineStr">
        <is>
          <t>(a completer)</t>
        </is>
      </c>
      <c r="H32" s="4" t="inlineStr">
        <is>
          <t>Direction technique</t>
        </is>
      </c>
      <c r="I32" s="14" t="inlineStr">
        <is>
          <t>Standard</t>
        </is>
      </c>
      <c r="J32" s="4" t="n">
        <v>2</v>
      </c>
      <c r="K32" s="7" t="n">
        <v>238</v>
      </c>
      <c r="L32" s="4" t="inlineStr"/>
      <c r="M32" s="4" t="inlineStr"/>
      <c r="N32" s="4" t="inlineStr"/>
      <c r="O32" s="4" t="inlineStr"/>
      <c r="P32" s="4" t="inlineStr"/>
      <c r="Q32" s="5" t="inlineStr">
        <is>
          <t>A contacter</t>
        </is>
      </c>
      <c r="R32" s="15" t="inlineStr">
        <is>
          <t>Priorite 3</t>
        </is>
      </c>
    </row>
    <row r="33" ht="16" customHeight="1">
      <c r="A33" s="9" t="inlineStr">
        <is>
          <t>S04</t>
        </is>
      </c>
      <c r="B33" s="9" t="inlineStr">
        <is>
          <t>Sante</t>
        </is>
      </c>
      <c r="C33" s="9" t="inlineStr">
        <is>
          <t>Clinique Veronique Cayenne</t>
        </is>
      </c>
      <c r="D33" s="9" t="inlineStr">
        <is>
          <t>Cayenne</t>
        </is>
      </c>
      <c r="E33" s="10" t="inlineStr">
        <is>
          <t>Route de Baduel, 97300 Cayenne</t>
        </is>
      </c>
      <c r="F33" s="11" t="inlineStr">
        <is>
          <t>(a completer)</t>
        </is>
      </c>
      <c r="G33" s="11" t="inlineStr">
        <is>
          <t>(a completer)</t>
        </is>
      </c>
      <c r="H33" s="9" t="inlineStr">
        <is>
          <t>Direction</t>
        </is>
      </c>
      <c r="I33" s="14" t="inlineStr">
        <is>
          <t>Standard</t>
        </is>
      </c>
      <c r="J33" s="9" t="n">
        <v>2</v>
      </c>
      <c r="K33" s="7" t="n">
        <v>238</v>
      </c>
      <c r="L33" s="9" t="inlineStr"/>
      <c r="M33" s="9" t="inlineStr"/>
      <c r="N33" s="9" t="inlineStr"/>
      <c r="O33" s="9" t="inlineStr"/>
      <c r="P33" s="9" t="inlineStr"/>
      <c r="Q33" s="10" t="inlineStr">
        <is>
          <t>A contacter</t>
        </is>
      </c>
      <c r="R33" s="13" t="inlineStr">
        <is>
          <t>Priorite 2</t>
        </is>
      </c>
    </row>
    <row r="34" ht="16" customHeight="1">
      <c r="A34" s="4" t="inlineStr">
        <is>
          <t>C01</t>
        </is>
      </c>
      <c r="B34" s="4" t="inlineStr">
        <is>
          <t>Spatial / Institutionnel</t>
        </is>
      </c>
      <c r="C34" s="4" t="inlineStr">
        <is>
          <t>CNES — Centre Spatial Guyanais</t>
        </is>
      </c>
      <c r="D34" s="4" t="inlineStr">
        <is>
          <t>Kourou</t>
        </is>
      </c>
      <c r="E34" s="5" t="inlineStr">
        <is>
          <t>Boulevard du Bagne, 97310 Kourou</t>
        </is>
      </c>
      <c r="F34" s="4" t="inlineStr">
        <is>
          <t>+33 5 94 33 51 11</t>
        </is>
      </c>
      <c r="G34" s="11" t="inlineStr">
        <is>
          <t>(a completer)</t>
        </is>
      </c>
      <c r="H34" s="4" t="inlineStr">
        <is>
          <t>Responsable patrimoine</t>
        </is>
      </c>
      <c r="I34" s="6" t="inlineStr">
        <is>
          <t>Premium</t>
        </is>
      </c>
      <c r="J34" s="4" t="n">
        <v>6</v>
      </c>
      <c r="K34" s="7" t="n">
        <v>1014</v>
      </c>
      <c r="L34" s="4" t="inlineStr"/>
      <c r="M34" s="4" t="inlineStr"/>
      <c r="N34" s="4" t="inlineStr"/>
      <c r="O34" s="4" t="inlineStr"/>
      <c r="P34" s="4" t="inlineStr"/>
      <c r="Q34" s="5" t="inlineStr">
        <is>
          <t>A contacter</t>
        </is>
      </c>
      <c r="R34" s="8" t="inlineStr">
        <is>
          <t>Priorite 1</t>
        </is>
      </c>
    </row>
    <row r="35" ht="16" customHeight="1">
      <c r="A35" s="9" t="inlineStr">
        <is>
          <t>C02</t>
        </is>
      </c>
      <c r="B35" s="9" t="inlineStr">
        <is>
          <t>Spatial / Institutionnel</t>
        </is>
      </c>
      <c r="C35" s="9" t="inlineStr">
        <is>
          <t>ArianeGroup Guyane</t>
        </is>
      </c>
      <c r="D35" s="9" t="inlineStr">
        <is>
          <t>Kourou</t>
        </is>
      </c>
      <c r="E35" s="10" t="inlineStr">
        <is>
          <t>CSG Kourou, 97310 Kourou</t>
        </is>
      </c>
      <c r="F35" s="11" t="inlineStr">
        <is>
          <t>(a completer)</t>
        </is>
      </c>
      <c r="G35" s="11" t="inlineStr">
        <is>
          <t>(a completer)</t>
        </is>
      </c>
      <c r="H35" s="9" t="inlineStr">
        <is>
          <t>Responsable</t>
        </is>
      </c>
      <c r="I35" s="6" t="inlineStr">
        <is>
          <t>Premium</t>
        </is>
      </c>
      <c r="J35" s="9" t="n">
        <v>4</v>
      </c>
      <c r="K35" s="7" t="n">
        <v>676</v>
      </c>
      <c r="L35" s="9" t="inlineStr"/>
      <c r="M35" s="9" t="inlineStr"/>
      <c r="N35" s="9" t="inlineStr"/>
      <c r="O35" s="9" t="inlineStr"/>
      <c r="P35" s="9" t="inlineStr"/>
      <c r="Q35" s="10" t="inlineStr">
        <is>
          <t>A contacter</t>
        </is>
      </c>
      <c r="R35" s="8" t="inlineStr">
        <is>
          <t>Priorite 1</t>
        </is>
      </c>
    </row>
    <row r="36" ht="16" customHeight="1">
      <c r="A36" s="4" t="inlineStr">
        <is>
          <t>C03</t>
        </is>
      </c>
      <c r="B36" s="4" t="inlineStr">
        <is>
          <t>Spatial / Institutionnel</t>
        </is>
      </c>
      <c r="C36" s="4" t="inlineStr">
        <is>
          <t>ESA — European Space Agency Guyane</t>
        </is>
      </c>
      <c r="D36" s="4" t="inlineStr">
        <is>
          <t>Kourou</t>
        </is>
      </c>
      <c r="E36" s="5" t="inlineStr">
        <is>
          <t>CSG Kourou, 97310 Kourou</t>
        </is>
      </c>
      <c r="F36" s="11" t="inlineStr">
        <is>
          <t>(a completer)</t>
        </is>
      </c>
      <c r="G36" s="11" t="inlineStr">
        <is>
          <t>(a completer)</t>
        </is>
      </c>
      <c r="H36" s="4" t="inlineStr">
        <is>
          <t>Facilities Manager</t>
        </is>
      </c>
      <c r="I36" s="12" t="inlineStr">
        <is>
          <t>Pro</t>
        </is>
      </c>
      <c r="J36" s="4" t="n">
        <v>4</v>
      </c>
      <c r="K36" s="7" t="n">
        <v>556</v>
      </c>
      <c r="L36" s="4" t="inlineStr"/>
      <c r="M36" s="4" t="inlineStr"/>
      <c r="N36" s="4" t="inlineStr"/>
      <c r="O36" s="4" t="inlineStr"/>
      <c r="P36" s="4" t="inlineStr"/>
      <c r="Q36" s="5" t="inlineStr">
        <is>
          <t>A contacter</t>
        </is>
      </c>
      <c r="R36" s="13" t="inlineStr">
        <is>
          <t>Priorite 2</t>
        </is>
      </c>
    </row>
    <row r="37" ht="16" customHeight="1">
      <c r="A37" s="9" t="inlineStr">
        <is>
          <t>C04</t>
        </is>
      </c>
      <c r="B37" s="9" t="inlineStr">
        <is>
          <t>Spatial / Institutionnel</t>
        </is>
      </c>
      <c r="C37" s="9" t="inlineStr">
        <is>
          <t>Avio (ancien ELV) Kourou</t>
        </is>
      </c>
      <c r="D37" s="9" t="inlineStr">
        <is>
          <t>Kourou</t>
        </is>
      </c>
      <c r="E37" s="10" t="inlineStr">
        <is>
          <t>CSG Kourou, 97310 Kourou</t>
        </is>
      </c>
      <c r="F37" s="11" t="inlineStr">
        <is>
          <t>(a completer)</t>
        </is>
      </c>
      <c r="G37" s="11" t="inlineStr">
        <is>
          <t>(a completer)</t>
        </is>
      </c>
      <c r="H37" s="9" t="inlineStr">
        <is>
          <t>Responsable</t>
        </is>
      </c>
      <c r="I37" s="12" t="inlineStr">
        <is>
          <t>Pro</t>
        </is>
      </c>
      <c r="J37" s="9" t="n">
        <v>2</v>
      </c>
      <c r="K37" s="7" t="n">
        <v>278</v>
      </c>
      <c r="L37" s="9" t="inlineStr"/>
      <c r="M37" s="9" t="inlineStr"/>
      <c r="N37" s="9" t="inlineStr"/>
      <c r="O37" s="9" t="inlineStr"/>
      <c r="P37" s="9" t="inlineStr"/>
      <c r="Q37" s="10" t="inlineStr">
        <is>
          <t>A contacter</t>
        </is>
      </c>
      <c r="R37" s="13" t="inlineStr">
        <is>
          <t>Priorite 2</t>
        </is>
      </c>
    </row>
    <row r="38" ht="16" customHeight="1">
      <c r="A38" s="4" t="inlineStr">
        <is>
          <t>P01</t>
        </is>
      </c>
      <c r="B38" s="4" t="inlineStr">
        <is>
          <t>Energie / Carburant</t>
        </is>
      </c>
      <c r="C38" s="4" t="inlineStr">
        <is>
          <t>Sara Petroles Guyane — Siege</t>
        </is>
      </c>
      <c r="D38" s="4" t="inlineStr">
        <is>
          <t>Cayenne</t>
        </is>
      </c>
      <c r="E38" s="5" t="inlineStr">
        <is>
          <t>Zone industrielle, 97300 Cayenne</t>
        </is>
      </c>
      <c r="F38" s="4" t="inlineStr">
        <is>
          <t>+33 5 94 25 34 00</t>
        </is>
      </c>
      <c r="G38" s="11" t="inlineStr">
        <is>
          <t>(a completer)</t>
        </is>
      </c>
      <c r="H38" s="4" t="inlineStr">
        <is>
          <t>Direction commerciale</t>
        </is>
      </c>
      <c r="I38" s="6" t="inlineStr">
        <is>
          <t>Premium</t>
        </is>
      </c>
      <c r="J38" s="4" t="n">
        <v>4</v>
      </c>
      <c r="K38" s="7" t="n">
        <v>676</v>
      </c>
      <c r="L38" s="4" t="inlineStr"/>
      <c r="M38" s="4" t="inlineStr"/>
      <c r="N38" s="4" t="inlineStr"/>
      <c r="O38" s="4" t="inlineStr"/>
      <c r="P38" s="4" t="inlineStr"/>
      <c r="Q38" s="5" t="inlineStr">
        <is>
          <t>A contacter</t>
        </is>
      </c>
      <c r="R38" s="8" t="inlineStr">
        <is>
          <t>Priorite 1</t>
        </is>
      </c>
    </row>
    <row r="39" ht="16" customHeight="1">
      <c r="A39" s="9" t="inlineStr">
        <is>
          <t>P02</t>
        </is>
      </c>
      <c r="B39" s="9" t="inlineStr">
        <is>
          <t>Energie / Carburant</t>
        </is>
      </c>
      <c r="C39" s="9" t="inlineStr">
        <is>
          <t>TotalEnergies Cayenne (station flagship)</t>
        </is>
      </c>
      <c r="D39" s="9" t="inlineStr">
        <is>
          <t>Cayenne</t>
        </is>
      </c>
      <c r="E39" s="10" t="inlineStr">
        <is>
          <t>Route de Baduel, 97300 Cayenne</t>
        </is>
      </c>
      <c r="F39" s="11" t="inlineStr">
        <is>
          <t>(a completer)</t>
        </is>
      </c>
      <c r="G39" s="11" t="inlineStr">
        <is>
          <t>(a completer)</t>
        </is>
      </c>
      <c r="H39" s="9" t="inlineStr">
        <is>
          <t>Responsable station</t>
        </is>
      </c>
      <c r="I39" s="6" t="inlineStr">
        <is>
          <t>Premium</t>
        </is>
      </c>
      <c r="J39" s="9" t="n">
        <v>2</v>
      </c>
      <c r="K39" s="7" t="n">
        <v>338</v>
      </c>
      <c r="L39" s="9" t="inlineStr"/>
      <c r="M39" s="9" t="inlineStr"/>
      <c r="N39" s="9" t="inlineStr"/>
      <c r="O39" s="9" t="inlineStr"/>
      <c r="P39" s="9" t="inlineStr"/>
      <c r="Q39" s="10" t="inlineStr">
        <is>
          <t>A contacter</t>
        </is>
      </c>
      <c r="R39" s="8" t="inlineStr">
        <is>
          <t>Priorite 1</t>
        </is>
      </c>
    </row>
    <row r="40" ht="16" customHeight="1">
      <c r="A40" s="4" t="inlineStr">
        <is>
          <t>P03</t>
        </is>
      </c>
      <c r="B40" s="4" t="inlineStr">
        <is>
          <t>Energie / Carburant</t>
        </is>
      </c>
      <c r="C40" s="4" t="inlineStr">
        <is>
          <t>Shell Guyane / EDF SEI</t>
        </is>
      </c>
      <c r="D40" s="4" t="inlineStr">
        <is>
          <t>Cayenne</t>
        </is>
      </c>
      <c r="E40" s="5" t="inlineStr">
        <is>
          <t>(a identifier)</t>
        </is>
      </c>
      <c r="F40" s="11" t="inlineStr">
        <is>
          <t>(a completer)</t>
        </is>
      </c>
      <c r="G40" s="11" t="inlineStr">
        <is>
          <t>(a completer)</t>
        </is>
      </c>
      <c r="H40" s="4" t="inlineStr">
        <is>
          <t>Direction</t>
        </is>
      </c>
      <c r="I40" s="6" t="inlineStr">
        <is>
          <t>Premium</t>
        </is>
      </c>
      <c r="J40" s="4" t="n">
        <v>2</v>
      </c>
      <c r="K40" s="7" t="n">
        <v>338</v>
      </c>
      <c r="L40" s="4" t="inlineStr"/>
      <c r="M40" s="4" t="inlineStr"/>
      <c r="N40" s="4" t="inlineStr"/>
      <c r="O40" s="4" t="inlineStr"/>
      <c r="P40" s="4" t="inlineStr"/>
      <c r="Q40" s="5" t="inlineStr">
        <is>
          <t>A contacter</t>
        </is>
      </c>
      <c r="R40" s="13" t="inlineStr">
        <is>
          <t>Priorite 2</t>
        </is>
      </c>
    </row>
    <row r="41" ht="16" customHeight="1">
      <c r="A41" s="9" t="inlineStr">
        <is>
          <t>T01</t>
        </is>
      </c>
      <c r="B41" s="9" t="inlineStr">
        <is>
          <t>Telecom</t>
        </is>
      </c>
      <c r="C41" s="9" t="inlineStr">
        <is>
          <t>Orange Guyane</t>
        </is>
      </c>
      <c r="D41" s="9" t="inlineStr">
        <is>
          <t>Cayenne</t>
        </is>
      </c>
      <c r="E41" s="10" t="inlineStr">
        <is>
          <t>27 avenue du General de Gaulle, 97300 Cayenne</t>
        </is>
      </c>
      <c r="F41" s="9" t="inlineStr">
        <is>
          <t>+33 5 94 39 80 00</t>
        </is>
      </c>
      <c r="G41" s="11" t="inlineStr">
        <is>
          <t>(a completer)</t>
        </is>
      </c>
      <c r="H41" s="9" t="inlineStr">
        <is>
          <t>Directeur regional</t>
        </is>
      </c>
      <c r="I41" s="12" t="inlineStr">
        <is>
          <t>Pro</t>
        </is>
      </c>
      <c r="J41" s="9" t="n">
        <v>2</v>
      </c>
      <c r="K41" s="7" t="n">
        <v>278</v>
      </c>
      <c r="L41" s="9" t="inlineStr"/>
      <c r="M41" s="9" t="inlineStr"/>
      <c r="N41" s="9" t="inlineStr"/>
      <c r="O41" s="9" t="inlineStr"/>
      <c r="P41" s="9" t="inlineStr"/>
      <c r="Q41" s="10" t="inlineStr">
        <is>
          <t>A contacter</t>
        </is>
      </c>
      <c r="R41" s="13" t="inlineStr">
        <is>
          <t>Priorite 2</t>
        </is>
      </c>
    </row>
    <row r="42" ht="16" customHeight="1">
      <c r="A42" s="4" t="inlineStr">
        <is>
          <t>T02</t>
        </is>
      </c>
      <c r="B42" s="4" t="inlineStr">
        <is>
          <t>Telecom</t>
        </is>
      </c>
      <c r="C42" s="4" t="inlineStr">
        <is>
          <t>SFR Outremer Guyane</t>
        </is>
      </c>
      <c r="D42" s="4" t="inlineStr">
        <is>
          <t>Cayenne</t>
        </is>
      </c>
      <c r="E42" s="5" t="inlineStr">
        <is>
          <t>Centre commercial, 97300 Cayenne</t>
        </is>
      </c>
      <c r="F42" s="11" t="inlineStr">
        <is>
          <t>(a completer)</t>
        </is>
      </c>
      <c r="G42" s="11" t="inlineStr">
        <is>
          <t>(a completer)</t>
        </is>
      </c>
      <c r="H42" s="4" t="inlineStr">
        <is>
          <t>Direction agence</t>
        </is>
      </c>
      <c r="I42" s="14" t="inlineStr">
        <is>
          <t>Standard</t>
        </is>
      </c>
      <c r="J42" s="4" t="n">
        <v>2</v>
      </c>
      <c r="K42" s="7" t="n">
        <v>238</v>
      </c>
      <c r="L42" s="4" t="inlineStr"/>
      <c r="M42" s="4" t="inlineStr"/>
      <c r="N42" s="4" t="inlineStr"/>
      <c r="O42" s="4" t="inlineStr"/>
      <c r="P42" s="4" t="inlineStr"/>
      <c r="Q42" s="5" t="inlineStr">
        <is>
          <t>A contacter</t>
        </is>
      </c>
      <c r="R42" s="13" t="inlineStr">
        <is>
          <t>Priorite 2</t>
        </is>
      </c>
    </row>
    <row r="43" ht="16" customHeight="1">
      <c r="A43" s="9" t="inlineStr">
        <is>
          <t>T03</t>
        </is>
      </c>
      <c r="B43" s="9" t="inlineStr">
        <is>
          <t>Telecom</t>
        </is>
      </c>
      <c r="C43" s="9" t="inlineStr">
        <is>
          <t>Digicel Guyane</t>
        </is>
      </c>
      <c r="D43" s="9" t="inlineStr">
        <is>
          <t>Cayenne</t>
        </is>
      </c>
      <c r="E43" s="10" t="inlineStr">
        <is>
          <t>Rue Lallouette, 97300 Cayenne</t>
        </is>
      </c>
      <c r="F43" s="11" t="inlineStr">
        <is>
          <t>(a completer)</t>
        </is>
      </c>
      <c r="G43" s="11" t="inlineStr">
        <is>
          <t>(a completer)</t>
        </is>
      </c>
      <c r="H43" s="9" t="inlineStr">
        <is>
          <t>Direction</t>
        </is>
      </c>
      <c r="I43" s="14" t="inlineStr">
        <is>
          <t>Standard</t>
        </is>
      </c>
      <c r="J43" s="9" t="n">
        <v>2</v>
      </c>
      <c r="K43" s="7" t="n">
        <v>238</v>
      </c>
      <c r="L43" s="9" t="inlineStr"/>
      <c r="M43" s="9" t="inlineStr"/>
      <c r="N43" s="9" t="inlineStr"/>
      <c r="O43" s="9" t="inlineStr"/>
      <c r="P43" s="9" t="inlineStr"/>
      <c r="Q43" s="10" t="inlineStr">
        <is>
          <t>A contacter</t>
        </is>
      </c>
      <c r="R43" s="15" t="inlineStr">
        <is>
          <t>Priorite 3</t>
        </is>
      </c>
    </row>
    <row r="44" ht="16" customHeight="1">
      <c r="A44" s="4" t="inlineStr">
        <is>
          <t>E01</t>
        </is>
      </c>
      <c r="B44" s="4" t="inlineStr">
        <is>
          <t>BTP / Industrie</t>
        </is>
      </c>
      <c r="C44" s="4" t="inlineStr">
        <is>
          <t>Eiffage Guyane</t>
        </is>
      </c>
      <c r="D44" s="4" t="inlineStr">
        <is>
          <t>Remire-Montjoly</t>
        </is>
      </c>
      <c r="E44" s="5" t="inlineStr">
        <is>
          <t>Zone d'activite l'Arsenal, 97354 Remire-Montjoly</t>
        </is>
      </c>
      <c r="F44" s="4" t="inlineStr">
        <is>
          <t>+33 5 94 38 68 68</t>
        </is>
      </c>
      <c r="G44" s="11" t="inlineStr">
        <is>
          <t>(a completer)</t>
        </is>
      </c>
      <c r="H44" s="4" t="inlineStr">
        <is>
          <t>Directeur technique</t>
        </is>
      </c>
      <c r="I44" s="12" t="inlineStr">
        <is>
          <t>Pro</t>
        </is>
      </c>
      <c r="J44" s="4" t="n">
        <v>2</v>
      </c>
      <c r="K44" s="7" t="n">
        <v>278</v>
      </c>
      <c r="L44" s="4" t="inlineStr"/>
      <c r="M44" s="4" t="inlineStr"/>
      <c r="N44" s="4" t="inlineStr"/>
      <c r="O44" s="4" t="inlineStr"/>
      <c r="P44" s="4" t="inlineStr"/>
      <c r="Q44" s="5" t="inlineStr">
        <is>
          <t>A contacter</t>
        </is>
      </c>
      <c r="R44" s="13" t="inlineStr">
        <is>
          <t>Priorite 2</t>
        </is>
      </c>
    </row>
    <row r="45" ht="16" customHeight="1">
      <c r="A45" s="9" t="inlineStr">
        <is>
          <t>E02</t>
        </is>
      </c>
      <c r="B45" s="9" t="inlineStr">
        <is>
          <t>BTP / Industrie</t>
        </is>
      </c>
      <c r="C45" s="9" t="inlineStr">
        <is>
          <t>Bouygues Bâtiment DOM</t>
        </is>
      </c>
      <c r="D45" s="9" t="inlineStr">
        <is>
          <t>Cayenne</t>
        </is>
      </c>
      <c r="E45" s="10" t="inlineStr">
        <is>
          <t>Route de Montabo, 97300 Cayenne</t>
        </is>
      </c>
      <c r="F45" s="11" t="inlineStr">
        <is>
          <t>(a completer)</t>
        </is>
      </c>
      <c r="G45" s="11" t="inlineStr">
        <is>
          <t>(a completer)</t>
        </is>
      </c>
      <c r="H45" s="9" t="inlineStr">
        <is>
          <t>Direction locale</t>
        </is>
      </c>
      <c r="I45" s="12" t="inlineStr">
        <is>
          <t>Pro</t>
        </is>
      </c>
      <c r="J45" s="9" t="n">
        <v>2</v>
      </c>
      <c r="K45" s="7" t="n">
        <v>278</v>
      </c>
      <c r="L45" s="9" t="inlineStr"/>
      <c r="M45" s="9" t="inlineStr"/>
      <c r="N45" s="9" t="inlineStr"/>
      <c r="O45" s="9" t="inlineStr"/>
      <c r="P45" s="9" t="inlineStr"/>
      <c r="Q45" s="10" t="inlineStr">
        <is>
          <t>A contacter</t>
        </is>
      </c>
      <c r="R45" s="13" t="inlineStr">
        <is>
          <t>Priorite 2</t>
        </is>
      </c>
    </row>
    <row r="46" ht="16" customHeight="1">
      <c r="A46" s="4" t="inlineStr">
        <is>
          <t>E03</t>
        </is>
      </c>
      <c r="B46" s="4" t="inlineStr">
        <is>
          <t>BTP / Industrie</t>
        </is>
      </c>
      <c r="C46" s="4" t="inlineStr">
        <is>
          <t>Vinci Construction DROM</t>
        </is>
      </c>
      <c r="D46" s="4" t="inlineStr">
        <is>
          <t>Cayenne</t>
        </is>
      </c>
      <c r="E46" s="5" t="inlineStr">
        <is>
          <t>Zone industrielle, 97300 Cayenne</t>
        </is>
      </c>
      <c r="F46" s="11" t="inlineStr">
        <is>
          <t>(a completer)</t>
        </is>
      </c>
      <c r="G46" s="11" t="inlineStr">
        <is>
          <t>(a completer)</t>
        </is>
      </c>
      <c r="H46" s="4" t="inlineStr">
        <is>
          <t>Direction locale</t>
        </is>
      </c>
      <c r="I46" s="14" t="inlineStr">
        <is>
          <t>Standard</t>
        </is>
      </c>
      <c r="J46" s="4" t="n">
        <v>2</v>
      </c>
      <c r="K46" s="7" t="n">
        <v>238</v>
      </c>
      <c r="L46" s="4" t="inlineStr"/>
      <c r="M46" s="4" t="inlineStr"/>
      <c r="N46" s="4" t="inlineStr"/>
      <c r="O46" s="4" t="inlineStr"/>
      <c r="P46" s="4" t="inlineStr"/>
      <c r="Q46" s="5" t="inlineStr">
        <is>
          <t>A contacter</t>
        </is>
      </c>
      <c r="R46" s="13" t="inlineStr">
        <is>
          <t>Priorite 2</t>
        </is>
      </c>
    </row>
    <row r="47" ht="16" customHeight="1">
      <c r="A47" s="9" t="inlineStr">
        <is>
          <t>I01</t>
        </is>
      </c>
      <c r="B47" s="9" t="inlineStr">
        <is>
          <t>Infrastructure</t>
        </is>
      </c>
      <c r="C47" s="9" t="inlineStr">
        <is>
          <t>Aeroport Felix Eboue (UAG)</t>
        </is>
      </c>
      <c r="D47" s="9" t="inlineStr">
        <is>
          <t>Matoury</t>
        </is>
      </c>
      <c r="E47" s="10" t="inlineStr">
        <is>
          <t>Route de l'Aeroport, 97351 Matoury</t>
        </is>
      </c>
      <c r="F47" s="9" t="inlineStr">
        <is>
          <t>+33 5 94 29 86 00</t>
        </is>
      </c>
      <c r="G47" s="11" t="inlineStr">
        <is>
          <t>(a completer)</t>
        </is>
      </c>
      <c r="H47" s="9" t="inlineStr">
        <is>
          <t>Responsable concessions</t>
        </is>
      </c>
      <c r="I47" s="6" t="inlineStr">
        <is>
          <t>Premium</t>
        </is>
      </c>
      <c r="J47" s="9" t="n">
        <v>6</v>
      </c>
      <c r="K47" s="7" t="n">
        <v>1014</v>
      </c>
      <c r="L47" s="9" t="inlineStr"/>
      <c r="M47" s="9" t="inlineStr"/>
      <c r="N47" s="9" t="inlineStr"/>
      <c r="O47" s="9" t="inlineStr"/>
      <c r="P47" s="9" t="inlineStr"/>
      <c r="Q47" s="10" t="inlineStr">
        <is>
          <t>A contacter</t>
        </is>
      </c>
      <c r="R47" s="8" t="inlineStr">
        <is>
          <t>Priorite 1</t>
        </is>
      </c>
    </row>
    <row r="48" ht="16" customHeight="1">
      <c r="A48" s="4" t="inlineStr">
        <is>
          <t>I02</t>
        </is>
      </c>
      <c r="B48" s="4" t="inlineStr">
        <is>
          <t>Infrastructure</t>
        </is>
      </c>
      <c r="C48" s="4" t="inlineStr">
        <is>
          <t>Port de Degrad-des-Cannes</t>
        </is>
      </c>
      <c r="D48" s="4" t="inlineStr">
        <is>
          <t>Remire-Montjoly</t>
        </is>
      </c>
      <c r="E48" s="5" t="inlineStr">
        <is>
          <t>Degrad-des-Cannes, 97354 Remire-Montjoly</t>
        </is>
      </c>
      <c r="F48" s="4" t="inlineStr">
        <is>
          <t>+33 5 94 29 95 10</t>
        </is>
      </c>
      <c r="G48" s="11" t="inlineStr">
        <is>
          <t>(a completer)</t>
        </is>
      </c>
      <c r="H48" s="4" t="inlineStr">
        <is>
          <t>Direction exploitation</t>
        </is>
      </c>
      <c r="I48" s="12" t="inlineStr">
        <is>
          <t>Pro</t>
        </is>
      </c>
      <c r="J48" s="4" t="n">
        <v>2</v>
      </c>
      <c r="K48" s="7" t="n">
        <v>278</v>
      </c>
      <c r="L48" s="4" t="inlineStr"/>
      <c r="M48" s="4" t="inlineStr"/>
      <c r="N48" s="4" t="inlineStr"/>
      <c r="O48" s="4" t="inlineStr"/>
      <c r="P48" s="4" t="inlineStr"/>
      <c r="Q48" s="5" t="inlineStr">
        <is>
          <t>A contacter</t>
        </is>
      </c>
      <c r="R48" s="13" t="inlineStr">
        <is>
          <t>Priorite 2</t>
        </is>
      </c>
    </row>
    <row r="49" ht="16" customHeight="1">
      <c r="A49" s="9" t="inlineStr">
        <is>
          <t>M01</t>
        </is>
      </c>
      <c r="B49" s="9" t="inlineStr">
        <is>
          <t>Industrie / Mines</t>
        </is>
      </c>
      <c r="C49" s="9" t="inlineStr">
        <is>
          <t>Montagne d'Or (Nord Resources)</t>
        </is>
      </c>
      <c r="D49" s="9" t="inlineStr">
        <is>
          <t>Cayenne</t>
        </is>
      </c>
      <c r="E49" s="10" t="inlineStr">
        <is>
          <t>Siege Cayenne — site a Paul-Isnard</t>
        </is>
      </c>
      <c r="F49" s="11" t="inlineStr">
        <is>
          <t>(a completer)</t>
        </is>
      </c>
      <c r="G49" s="11" t="inlineStr">
        <is>
          <t>(a completer)</t>
        </is>
      </c>
      <c r="H49" s="9" t="inlineStr">
        <is>
          <t>Direction RSE</t>
        </is>
      </c>
      <c r="I49" s="12" t="inlineStr">
        <is>
          <t>Pro</t>
        </is>
      </c>
      <c r="J49" s="9" t="n">
        <v>2</v>
      </c>
      <c r="K49" s="7" t="n">
        <v>278</v>
      </c>
      <c r="L49" s="9" t="inlineStr"/>
      <c r="M49" s="9" t="inlineStr"/>
      <c r="N49" s="9" t="inlineStr"/>
      <c r="O49" s="9" t="inlineStr"/>
      <c r="P49" s="9" t="inlineStr"/>
      <c r="Q49" s="10" t="inlineStr">
        <is>
          <t>A contacter</t>
        </is>
      </c>
      <c r="R49" s="15" t="inlineStr">
        <is>
          <t>Priorite 3</t>
        </is>
      </c>
    </row>
    <row r="50" ht="16" customHeight="1">
      <c r="A50" s="4" t="inlineStr">
        <is>
          <t>M02</t>
        </is>
      </c>
      <c r="B50" s="4" t="inlineStr">
        <is>
          <t>Industrie / Mines</t>
        </is>
      </c>
      <c r="C50" s="4" t="inlineStr">
        <is>
          <t>CMB Metallurgie</t>
        </is>
      </c>
      <c r="D50" s="4" t="inlineStr">
        <is>
          <t>Cayenne</t>
        </is>
      </c>
      <c r="E50" s="5" t="inlineStr">
        <is>
          <t>Zone industrielle, 97300 Cayenne</t>
        </is>
      </c>
      <c r="F50" s="11" t="inlineStr">
        <is>
          <t>(a completer)</t>
        </is>
      </c>
      <c r="G50" s="11" t="inlineStr">
        <is>
          <t>(a completer)</t>
        </is>
      </c>
      <c r="H50" s="4" t="inlineStr">
        <is>
          <t>Direction</t>
        </is>
      </c>
      <c r="I50" s="16" t="inlineStr">
        <is>
          <t>Starter</t>
        </is>
      </c>
      <c r="J50" s="4" t="n">
        <v>2</v>
      </c>
      <c r="K50" s="7" t="n">
        <v>178</v>
      </c>
      <c r="L50" s="4" t="inlineStr"/>
      <c r="M50" s="4" t="inlineStr"/>
      <c r="N50" s="4" t="inlineStr"/>
      <c r="O50" s="4" t="inlineStr"/>
      <c r="P50" s="4" t="inlineStr"/>
      <c r="Q50" s="5" t="inlineStr">
        <is>
          <t>A contacter</t>
        </is>
      </c>
      <c r="R50" s="15" t="inlineStr">
        <is>
          <t>Priorite 3</t>
        </is>
      </c>
    </row>
    <row r="51" ht="16" customHeight="1">
      <c r="A51" s="9" t="inlineStr">
        <is>
          <t>G01</t>
        </is>
      </c>
      <c r="B51" s="9" t="inlineStr">
        <is>
          <t>Administration</t>
        </is>
      </c>
      <c r="C51" s="9" t="inlineStr">
        <is>
          <t>Collectivite Territoriale de Guyane (CTG)</t>
        </is>
      </c>
      <c r="D51" s="9" t="inlineStr">
        <is>
          <t>Cayenne</t>
        </is>
      </c>
      <c r="E51" s="10" t="inlineStr">
        <is>
          <t>Cité administrative, 97300 Cayenne</t>
        </is>
      </c>
      <c r="F51" s="9" t="inlineStr">
        <is>
          <t>+33 5 94 29 20 20</t>
        </is>
      </c>
      <c r="G51" s="9" t="inlineStr">
        <is>
          <t>contact@ctguyane.fr</t>
        </is>
      </c>
      <c r="H51" s="9" t="inlineStr">
        <is>
          <t>DGA Transitions</t>
        </is>
      </c>
      <c r="I51" s="6" t="inlineStr">
        <is>
          <t>Premium</t>
        </is>
      </c>
      <c r="J51" s="9" t="n">
        <v>4</v>
      </c>
      <c r="K51" s="7" t="n">
        <v>676</v>
      </c>
      <c r="L51" s="9" t="inlineStr"/>
      <c r="M51" s="9" t="inlineStr"/>
      <c r="N51" s="9" t="inlineStr"/>
      <c r="O51" s="9" t="inlineStr"/>
      <c r="P51" s="9" t="inlineStr"/>
      <c r="Q51" s="10" t="inlineStr">
        <is>
          <t>A contacter</t>
        </is>
      </c>
      <c r="R51" s="8" t="inlineStr">
        <is>
          <t>Priorite 1</t>
        </is>
      </c>
    </row>
    <row r="52" ht="16" customHeight="1">
      <c r="A52" s="4" t="inlineStr">
        <is>
          <t>G02</t>
        </is>
      </c>
      <c r="B52" s="4" t="inlineStr">
        <is>
          <t>Administration</t>
        </is>
      </c>
      <c r="C52" s="4" t="inlineStr">
        <is>
          <t>DEAL Guyane</t>
        </is>
      </c>
      <c r="D52" s="4" t="inlineStr">
        <is>
          <t>Cayenne</t>
        </is>
      </c>
      <c r="E52" s="5" t="inlineStr">
        <is>
          <t>258 rue de Limersack, 97300 Cayenne</t>
        </is>
      </c>
      <c r="F52" s="4" t="inlineStr">
        <is>
          <t>+33 5 94 29 75 00</t>
        </is>
      </c>
      <c r="G52" s="11" t="inlineStr">
        <is>
          <t>(a completer)</t>
        </is>
      </c>
      <c r="H52" s="4" t="inlineStr">
        <is>
          <t>Direction</t>
        </is>
      </c>
      <c r="I52" s="14" t="inlineStr">
        <is>
          <t>Standard</t>
        </is>
      </c>
      <c r="J52" s="4" t="n">
        <v>2</v>
      </c>
      <c r="K52" s="7" t="n">
        <v>238</v>
      </c>
      <c r="L52" s="4" t="inlineStr"/>
      <c r="M52" s="4" t="inlineStr"/>
      <c r="N52" s="4" t="inlineStr"/>
      <c r="O52" s="4" t="inlineStr"/>
      <c r="P52" s="4" t="inlineStr"/>
      <c r="Q52" s="5" t="inlineStr">
        <is>
          <t>A contacter</t>
        </is>
      </c>
      <c r="R52" s="15" t="inlineStr">
        <is>
          <t>Priorite 3</t>
        </is>
      </c>
    </row>
    <row r="55">
      <c r="A55" s="17" t="inlineStr">
        <is>
          <t>LEGENDE OFFRES LOA :</t>
        </is>
      </c>
      <c r="E55" s="18" t="inlineStr">
        <is>
          <t>Starter (89 EUR)</t>
        </is>
      </c>
      <c r="F55" s="19" t="inlineStr">
        <is>
          <t>Standard (119 EUR)</t>
        </is>
      </c>
      <c r="G55" s="20" t="inlineStr">
        <is>
          <t>Pro (139 EUR/PDC)</t>
        </is>
      </c>
      <c r="H55" s="21" t="inlineStr">
        <is>
          <t>Premium (169 EUR/PDC)</t>
        </is>
      </c>
    </row>
  </sheetData>
  <autoFilter ref="A3:R52"/>
  <mergeCells count="3">
    <mergeCell ref="A55:D55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22" t="inlineStr">
        <is>
          <t>CALCULATEUR LOA BORNES — EGREENCITY'S 2026</t>
        </is>
      </c>
    </row>
    <row r="2" ht="16" customHeight="1">
      <c r="A2" s="23" t="inlineStr">
        <is>
          <t>Tous les montants sont en EUR HT — TVA Guyane 8,5 % applicable</t>
        </is>
      </c>
    </row>
    <row r="4" ht="20" customHeight="1">
      <c r="A4" s="24" t="inlineStr">
        <is>
          <t>PARAMETRES DE SIMULATION (modifiez les cellules en bleu)</t>
        </is>
      </c>
    </row>
    <row r="5">
      <c r="A5" s="25" t="inlineStr">
        <is>
          <t>Offre selectionnee</t>
        </is>
      </c>
      <c r="B5" s="26" t="inlineStr">
        <is>
          <t>Pro</t>
        </is>
      </c>
      <c r="C5" s="27" t="inlineStr">
        <is>
          <t>→ Starter | Standard | Pro | Premium</t>
        </is>
      </c>
    </row>
    <row r="6">
      <c r="A6" s="25" t="inlineStr">
        <is>
          <t>Nombre de PDC</t>
        </is>
      </c>
      <c r="B6" s="26" t="n">
        <v>2</v>
      </c>
      <c r="C6" s="27" t="inlineStr">
        <is>
          <t>→ 1, 2, 4, 6, 8 ...</t>
        </is>
      </c>
    </row>
    <row r="7">
      <c r="A7" s="25" t="inlineStr">
        <is>
          <t>Duree du contrat (mois)</t>
        </is>
      </c>
      <c r="B7" s="26" t="n">
        <v>72</v>
      </c>
      <c r="C7" s="27" t="inlineStr">
        <is>
          <t>→ 72 a 96 mois</t>
        </is>
      </c>
    </row>
    <row r="8">
      <c r="A8" s="25" t="inlineStr">
        <is>
          <t>Options supplementaires HT</t>
        </is>
      </c>
      <c r="B8" s="26" t="n">
        <v>0</v>
      </c>
      <c r="C8" s="27" t="inlineStr">
        <is>
          <t>→ Total des options (ecran, TPE, modem 4G...)</t>
        </is>
      </c>
    </row>
    <row r="10" ht="20" customHeight="1">
      <c r="A10" s="28" t="inlineStr">
        <is>
          <t>RESULTATS (calcules automatiquement)</t>
        </is>
      </c>
    </row>
    <row r="11">
      <c r="A11" s="25" t="inlineStr">
        <is>
          <t>Loyer de base / PDC / mois HT</t>
        </is>
      </c>
      <c r="B11" s="29">
        <f>IF(B5="Starter",89,IF(B5="Standard",119,IF(B5="Pro",139,IF(B5="Premium",169,0))))</f>
        <v/>
      </c>
    </row>
    <row r="12">
      <c r="A12" s="25" t="inlineStr">
        <is>
          <t>Loyer mensuel total HT (base)</t>
        </is>
      </c>
      <c r="B12" s="29">
        <f>B11*B6</f>
        <v/>
      </c>
    </row>
    <row r="13">
      <c r="A13" s="25" t="inlineStr">
        <is>
          <t>Supplement options (reparti sur duree)</t>
        </is>
      </c>
      <c r="B13" s="29">
        <f>IFERROR(B8/B7,0)</f>
        <v/>
      </c>
    </row>
    <row r="14">
      <c r="A14" s="25" t="inlineStr">
        <is>
          <t>Loyer mensuel total HT (options incluses)</t>
        </is>
      </c>
      <c r="B14" s="29">
        <f>B12+B13</f>
        <v/>
      </c>
    </row>
    <row r="15">
      <c r="A15" s="25" t="inlineStr">
        <is>
          <t>TVA Guyane 8,5 %</t>
        </is>
      </c>
      <c r="B15" s="29">
        <f>B14*0.085</f>
        <v/>
      </c>
    </row>
    <row r="16">
      <c r="A16" s="30" t="inlineStr">
        <is>
          <t>Loyer mensuel TTC</t>
        </is>
      </c>
      <c r="B16" s="31">
        <f>B14+B15</f>
        <v/>
      </c>
    </row>
    <row r="18">
      <c r="A18" s="30" t="inlineStr">
        <is>
          <t>Cout total LOA HT (loyers)</t>
        </is>
      </c>
      <c r="B18" s="31">
        <f>B14*B7</f>
        <v/>
      </c>
    </row>
    <row r="19">
      <c r="A19" s="30" t="inlineStr">
        <is>
          <t>Valeur residuelle option d'achat HT</t>
        </is>
      </c>
      <c r="B19" s="31">
        <f>IF(B5="Starter",72,IF(B5="Standard",160,IF(B5="Pro",274,IF(B5="Premium",495,0))))</f>
        <v/>
      </c>
    </row>
    <row r="20">
      <c r="A20" s="30" t="inlineStr">
        <is>
          <t>Cout total si option achat exercee HT</t>
        </is>
      </c>
      <c r="B20" s="31">
        <f>B18+B19</f>
        <v/>
      </c>
    </row>
    <row r="22">
      <c r="A22" s="25" t="inlineStr">
        <is>
          <t>Estimation travaux installation (bas)</t>
        </is>
      </c>
      <c r="B22" s="32" t="n">
        <v>500</v>
      </c>
    </row>
    <row r="23">
      <c r="A23" s="25" t="inlineStr">
        <is>
          <t>Estimation travaux installation (haut)</t>
        </is>
      </c>
      <c r="B23" s="32" t="n">
        <v>4000</v>
      </c>
    </row>
    <row r="24">
      <c r="A24" s="30" t="inlineStr">
        <is>
          <t>Investissement total client 72 mois (bas) HT</t>
        </is>
      </c>
      <c r="B24" s="31">
        <f>B18+B19+B22</f>
        <v/>
      </c>
    </row>
    <row r="25">
      <c r="A25" s="30" t="inlineStr">
        <is>
          <t>Investissement total client 72 mois (haut) HT</t>
        </is>
      </c>
      <c r="B25" s="31">
        <f>B18+B19+B23</f>
        <v/>
      </c>
    </row>
    <row r="28" ht="20" customHeight="1">
      <c r="A28" s="33" t="inlineStr">
        <is>
          <t>TABLEAU COMPARATIF DES 4 OFFRES LOA</t>
        </is>
      </c>
    </row>
    <row r="29" ht="18" customHeight="1">
      <c r="A29" s="34" t="inlineStr">
        <is>
          <t>Critere</t>
        </is>
      </c>
      <c r="B29" s="35" t="inlineStr">
        <is>
          <t>Starter</t>
        </is>
      </c>
      <c r="C29" s="36" t="inlineStr">
        <is>
          <t>Standard</t>
        </is>
      </c>
      <c r="D29" s="37" t="inlineStr">
        <is>
          <t>Pro</t>
        </is>
      </c>
      <c r="E29" s="38" t="inlineStr">
        <is>
          <t>Premium</t>
        </is>
      </c>
    </row>
    <row r="30" ht="15" customHeight="1">
      <c r="A30" s="39" t="inlineStr">
        <is>
          <t>Modele</t>
        </is>
      </c>
      <c r="B30" s="40" t="inlineStr">
        <is>
          <t>e-WallBox 1x7kW</t>
        </is>
      </c>
      <c r="C30" s="40" t="inlineStr">
        <is>
          <t>e-Smart 1x22kW</t>
        </is>
      </c>
      <c r="D30" s="40" t="inlineStr">
        <is>
          <t>e-Smart 2x22kW</t>
        </is>
      </c>
      <c r="E30" s="40" t="inlineStr">
        <is>
          <t>e-Premium 2x22kW</t>
        </is>
      </c>
    </row>
    <row r="31" ht="15" customHeight="1">
      <c r="A31" s="41" t="inlineStr">
        <is>
          <t>Nombre de PDC</t>
        </is>
      </c>
      <c r="B31" s="42" t="inlineStr">
        <is>
          <t>1</t>
        </is>
      </c>
      <c r="C31" s="42" t="inlineStr">
        <is>
          <t>1</t>
        </is>
      </c>
      <c r="D31" s="42" t="inlineStr">
        <is>
          <t>2</t>
        </is>
      </c>
      <c r="E31" s="42" t="inlineStr">
        <is>
          <t>2</t>
        </is>
      </c>
    </row>
    <row r="32" ht="15" customHeight="1">
      <c r="A32" s="39" t="inlineStr">
        <is>
          <t>Puissance totale</t>
        </is>
      </c>
      <c r="B32" s="40" t="inlineStr">
        <is>
          <t>7 kW</t>
        </is>
      </c>
      <c r="C32" s="40" t="inlineStr">
        <is>
          <t>22 kW</t>
        </is>
      </c>
      <c r="D32" s="40" t="inlineStr">
        <is>
          <t>44 kW</t>
        </is>
      </c>
      <c r="E32" s="40" t="inlineStr">
        <is>
          <t>44 kW</t>
        </is>
      </c>
    </row>
    <row r="33" ht="15" customHeight="1">
      <c r="A33" s="41" t="inlineStr">
        <is>
          <t>Valeur materiel HT</t>
        </is>
      </c>
      <c r="B33" s="42" t="inlineStr">
        <is>
          <t>715 EUR</t>
        </is>
      </c>
      <c r="C33" s="42" t="inlineStr">
        <is>
          <t>1 599 EUR</t>
        </is>
      </c>
      <c r="D33" s="42" t="inlineStr">
        <is>
          <t>2 739 EUR</t>
        </is>
      </c>
      <c r="E33" s="42" t="inlineStr">
        <is>
          <t>4 948 EUR</t>
        </is>
      </c>
    </row>
    <row r="34" ht="15" customHeight="1">
      <c r="A34" s="39" t="inlineStr">
        <is>
          <t>Loyer / PDC / mois HT</t>
        </is>
      </c>
      <c r="B34" s="40" t="inlineStr">
        <is>
          <t>89 EUR</t>
        </is>
      </c>
      <c r="C34" s="40" t="inlineStr">
        <is>
          <t>119 EUR</t>
        </is>
      </c>
      <c r="D34" s="40" t="inlineStr">
        <is>
          <t>139 EUR</t>
        </is>
      </c>
      <c r="E34" s="40" t="inlineStr">
        <is>
          <t>169 EUR</t>
        </is>
      </c>
    </row>
    <row r="35" ht="15" customHeight="1">
      <c r="A35" s="41" t="inlineStr">
        <is>
          <t>Loyer total / mois HT</t>
        </is>
      </c>
      <c r="B35" s="42" t="inlineStr">
        <is>
          <t>89 EUR</t>
        </is>
      </c>
      <c r="C35" s="42" t="inlineStr">
        <is>
          <t>119 EUR</t>
        </is>
      </c>
      <c r="D35" s="42" t="inlineStr">
        <is>
          <t>278 EUR</t>
        </is>
      </c>
      <c r="E35" s="42" t="inlineStr">
        <is>
          <t>338 EUR</t>
        </is>
      </c>
    </row>
    <row r="36" ht="15" customHeight="1">
      <c r="A36" s="39" t="inlineStr">
        <is>
          <t>Loyer total 72 mois HT</t>
        </is>
      </c>
      <c r="B36" s="40" t="inlineStr">
        <is>
          <t>6 408 EUR</t>
        </is>
      </c>
      <c r="C36" s="40" t="inlineStr">
        <is>
          <t>8 568 EUR</t>
        </is>
      </c>
      <c r="D36" s="40" t="inlineStr">
        <is>
          <t>20 016 EUR</t>
        </is>
      </c>
      <c r="E36" s="40" t="inlineStr">
        <is>
          <t>24 336 EUR</t>
        </is>
      </c>
    </row>
    <row r="37" ht="15" customHeight="1">
      <c r="A37" s="41" t="inlineStr">
        <is>
          <t>Option d'achat HT</t>
        </is>
      </c>
      <c r="B37" s="42" t="inlineStr">
        <is>
          <t>72 EUR</t>
        </is>
      </c>
      <c r="C37" s="42" t="inlineStr">
        <is>
          <t>160 EUR</t>
        </is>
      </c>
      <c r="D37" s="42" t="inlineStr">
        <is>
          <t>274 EUR</t>
        </is>
      </c>
      <c r="E37" s="42" t="inlineStr">
        <is>
          <t>495 EUR</t>
        </is>
      </c>
    </row>
    <row r="38" ht="15" customHeight="1">
      <c r="A38" s="39" t="inlineStr">
        <is>
          <t>Ecran 10 pouces (option)</t>
        </is>
      </c>
      <c r="B38" s="40" t="inlineStr">
        <is>
          <t>Non dispo</t>
        </is>
      </c>
      <c r="C38" s="40" t="inlineStr">
        <is>
          <t>+648 EUR</t>
        </is>
      </c>
      <c r="D38" s="40" t="inlineStr">
        <is>
          <t>+648 EUR</t>
        </is>
      </c>
      <c r="E38" s="40" t="inlineStr">
        <is>
          <t>+648 EUR</t>
        </is>
      </c>
    </row>
    <row r="39" ht="15" customHeight="1">
      <c r="A39" s="41" t="inlineStr">
        <is>
          <t>TPE CB integre (option)</t>
        </is>
      </c>
      <c r="B39" s="42" t="inlineStr">
        <is>
          <t>Non dispo</t>
        </is>
      </c>
      <c r="C39" s="42" t="inlineStr">
        <is>
          <t>+837 EUR</t>
        </is>
      </c>
      <c r="D39" s="42" t="inlineStr">
        <is>
          <t>+837 EUR</t>
        </is>
      </c>
      <c r="E39" s="42" t="inlineStr">
        <is>
          <t>+837 EUR</t>
        </is>
      </c>
    </row>
    <row r="40" ht="15" customHeight="1">
      <c r="A40" s="39" t="inlineStr">
        <is>
          <t>Design premium</t>
        </is>
      </c>
      <c r="B40" s="40" t="inlineStr">
        <is>
          <t>Non</t>
        </is>
      </c>
      <c r="C40" s="40" t="inlineStr">
        <is>
          <t>Non</t>
        </is>
      </c>
      <c r="D40" s="40" t="inlineStr">
        <is>
          <t>Non</t>
        </is>
      </c>
      <c r="E40" s="40" t="inlineStr">
        <is>
          <t>Oui</t>
        </is>
      </c>
    </row>
    <row r="41" ht="15" customHeight="1">
      <c r="A41" s="41" t="inlineStr">
        <is>
          <t>Cible principale</t>
        </is>
      </c>
      <c r="B41" s="42" t="inlineStr">
        <is>
          <t>Bureaux, PME</t>
        </is>
      </c>
      <c r="C41" s="42" t="inlineStr">
        <is>
          <t>Commerces, banques</t>
        </is>
      </c>
      <c r="D41" s="42" t="inlineStr">
        <is>
          <t>Hotels, centres comm.</t>
        </is>
      </c>
      <c r="E41" s="42" t="inlineStr">
        <is>
          <t>CSG, aeroport, 4*</t>
        </is>
      </c>
    </row>
  </sheetData>
  <mergeCells count="22">
    <mergeCell ref="C8:F8"/>
    <mergeCell ref="B16:F16"/>
    <mergeCell ref="B25:F25"/>
    <mergeCell ref="C7:F7"/>
    <mergeCell ref="B22:F22"/>
    <mergeCell ref="B18:F18"/>
    <mergeCell ref="A2:F2"/>
    <mergeCell ref="B12:F12"/>
    <mergeCell ref="B11:F11"/>
    <mergeCell ref="C6:F6"/>
    <mergeCell ref="B23:F23"/>
    <mergeCell ref="A4:F4"/>
    <mergeCell ref="B14:F14"/>
    <mergeCell ref="C5:F5"/>
    <mergeCell ref="B13:F13"/>
    <mergeCell ref="A10:F10"/>
    <mergeCell ref="A28:F28"/>
    <mergeCell ref="B19:F19"/>
    <mergeCell ref="B24:F24"/>
    <mergeCell ref="B20:F20"/>
    <mergeCell ref="B15:F1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2026-05-04T20:36:12Z</dcterms:created>
  <dcterms:modified xmlns:dcterms="http://purl.org/dc/terms/" xmlns:xsi="http://www.w3.org/2001/XMLSchema-instance" xsi:type="dcterms:W3CDTF">2026-05-04T20:36:12Z</dcterms:modified>
</cp:coreProperties>
</file>