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eme ADVENIR" sheetId="1" state="visible" r:id="rId1"/>
    <sheet xmlns:r="http://schemas.openxmlformats.org/officeDocument/2006/relationships" name="Chiffrage" sheetId="2" state="visible" r:id="rId2"/>
    <sheet xmlns:r="http://schemas.openxmlformats.org/officeDocument/2006/relationships" name="Plan financ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 €_-;[Red]-* #,##0 €_-;_-* &quot;-&quot; €_-;_-@_-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A4800"/>
      <sz val="14"/>
    </font>
    <font>
      <name val="Arial"/>
      <b val="1"/>
      <color rgb="00FFFFFF"/>
    </font>
    <font>
      <name val="Arial"/>
      <color rgb="000000FF"/>
    </font>
    <font>
      <name val="Arial"/>
      <i val="1"/>
      <color rgb="00888888"/>
      <sz val="9"/>
    </font>
    <font>
      <name val="Arial"/>
      <i val="1"/>
      <color rgb="00666666"/>
      <sz val="9"/>
    </font>
    <font>
      <name val="Arial"/>
      <color rgb="00000000"/>
    </font>
    <font>
      <name val="Arial"/>
      <color rgb="00008000"/>
    </font>
    <font>
      <name val="Arial"/>
      <b val="1"/>
      <color rgb="000A4800"/>
    </font>
    <font>
      <name val="Arial"/>
      <b val="1"/>
      <color rgb="00000000"/>
    </font>
    <font>
      <name val="Arial"/>
      <b val="1"/>
      <color rgb="000A4800"/>
      <sz val="12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0A4800"/>
      </patternFill>
    </fill>
    <fill>
      <patternFill patternType="solid">
        <fgColor rgb="00E8F8E0"/>
      </patternFill>
    </fill>
    <fill>
      <patternFill patternType="solid">
        <fgColor rgb="00D4AF3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164" fontId="6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  <xf numFmtId="164" fontId="7" fillId="3" borderId="1" applyAlignment="1" pivotButton="0" quotePrefix="0" xfId="0">
      <alignment vertical="center" wrapText="1"/>
    </xf>
    <xf numFmtId="165" fontId="7" fillId="3" borderId="1" applyAlignment="1" pivotButton="0" quotePrefix="0" xfId="0">
      <alignment vertical="center" wrapText="1"/>
    </xf>
    <xf numFmtId="0" fontId="8" fillId="4" borderId="0" pivotButton="0" quotePrefix="0" xfId="0"/>
    <xf numFmtId="3" fontId="9" fillId="4" borderId="1" pivotButton="0" quotePrefix="0" xfId="0"/>
    <xf numFmtId="164" fontId="9" fillId="4" borderId="1" pivotButton="0" quotePrefix="0" xfId="0"/>
    <xf numFmtId="0" fontId="10" fillId="0" borderId="0" pivotButton="0" quotePrefix="0" xfId="0"/>
    <xf numFmtId="0" fontId="8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164" fontId="6" fillId="5" borderId="0" pivotButton="0" quotePrefix="0" xfId="0"/>
    <xf numFmtId="165" fontId="6" fillId="0" borderId="0" pivotButton="0" quotePrefix="0" xfId="0"/>
    <xf numFmtId="0" fontId="2" fillId="2" borderId="1" applyAlignment="1" pivotButton="0" quotePrefix="0" xfId="0">
      <alignment horizontal="center"/>
    </xf>
    <xf numFmtId="0" fontId="8" fillId="0" borderId="1" pivotButton="0" quotePrefix="0" xfId="0"/>
    <xf numFmtId="0" fontId="3" fillId="0" borderId="1" pivotButton="0" quotePrefix="0" xfId="0"/>
    <xf numFmtId="164" fontId="7" fillId="0" borderId="1" pivotButton="0" quotePrefix="0" xfId="0"/>
    <xf numFmtId="165" fontId="6" fillId="0" borderId="1" pivotButton="0" quotePrefix="0" xfId="0"/>
    <xf numFmtId="164" fontId="3" fillId="0" borderId="1" pivotButton="0" quotePrefix="0" xfId="0"/>
    <xf numFmtId="0" fontId="2" fillId="2" borderId="1" pivotButton="0" quotePrefix="0" xfId="0"/>
    <xf numFmtId="0" fontId="0" fillId="0" borderId="1" pivotButton="0" quotePrefix="0" xfId="0"/>
    <xf numFmtId="164" fontId="2" fillId="2" borderId="1" pivotButton="0" quotePrefix="0" xfId="0"/>
    <xf numFmtId="165" fontId="2" fillId="2" borderId="1" pivotButton="0" quotePrefix="0" xfId="0"/>
    <xf numFmtId="0" fontId="11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6" customWidth="1" min="4" max="4"/>
    <col width="22" customWidth="1" min="5" max="5"/>
    <col width="50" customWidth="1" min="6" max="6"/>
  </cols>
  <sheetData>
    <row r="1">
      <c r="A1" s="1" t="inlineStr">
        <is>
          <t>BAREME ADVENIR — Outre-mer (à actualiser sur advenir.mobi)</t>
        </is>
      </c>
    </row>
    <row r="3">
      <c r="A3" s="2" t="inlineStr">
        <is>
          <t>Cas d'usage</t>
        </is>
      </c>
      <c r="B3" s="2" t="inlineStr">
        <is>
          <t>Code</t>
        </is>
      </c>
      <c r="C3" s="2" t="inlineStr">
        <is>
          <t>Aide max / point (€)</t>
        </is>
      </c>
      <c r="D3" s="2" t="inlineStr">
        <is>
          <t>Taux max (% HT)</t>
        </is>
      </c>
      <c r="E3" s="2" t="inlineStr">
        <is>
          <t>Plafond installation (€)</t>
        </is>
      </c>
      <c r="F3" s="2" t="inlineStr">
        <is>
          <t>Notes</t>
        </is>
      </c>
    </row>
    <row r="4">
      <c r="A4" s="3" t="inlineStr">
        <is>
          <t>Residentiel collectif (parking copro/social)</t>
        </is>
      </c>
      <c r="B4" s="3" t="inlineStr">
        <is>
          <t>RES_COL</t>
        </is>
      </c>
      <c r="C4" s="4" t="n">
        <v>960</v>
      </c>
      <c r="D4" s="5" t="n">
        <v>0.5</v>
      </c>
      <c r="E4" s="4" t="n">
        <v>1920</v>
      </c>
      <c r="F4" s="3" t="inlineStr">
        <is>
          <t>Outre-mer : majoration possible de 10–20%. Verifier le bareme.</t>
        </is>
      </c>
    </row>
    <row r="5">
      <c r="A5" s="3" t="inlineStr">
        <is>
          <t>Salaries — point individuel</t>
        </is>
      </c>
      <c r="B5" s="3" t="inlineStr">
        <is>
          <t>SAL_IND</t>
        </is>
      </c>
      <c r="C5" s="4" t="n">
        <v>960</v>
      </c>
      <c r="D5" s="5" t="n">
        <v>0.5</v>
      </c>
      <c r="E5" s="4" t="n">
        <v>1920</v>
      </c>
      <c r="F5" s="3" t="inlineStr">
        <is>
          <t>Borne dediee a un salarie identifie.</t>
        </is>
      </c>
    </row>
    <row r="6">
      <c r="A6" s="3" t="inlineStr">
        <is>
          <t>Salaries — point partage</t>
        </is>
      </c>
      <c r="B6" s="3" t="inlineStr">
        <is>
          <t>SAL_PAR</t>
        </is>
      </c>
      <c r="C6" s="4" t="n">
        <v>600</v>
      </c>
      <c r="D6" s="5" t="n">
        <v>0.5</v>
      </c>
      <c r="E6" s="4" t="n">
        <v>1200</v>
      </c>
      <c r="F6" s="3" t="inlineStr">
        <is>
          <t>Plusieurs salaries se partagent la borne.</t>
        </is>
      </c>
    </row>
    <row r="7">
      <c r="A7" s="3" t="inlineStr">
        <is>
          <t>Flotte/visiteurs entreprise</t>
        </is>
      </c>
      <c r="B7" s="3" t="inlineStr">
        <is>
          <t>FLT_ENT</t>
        </is>
      </c>
      <c r="C7" s="4" t="n">
        <v>1500</v>
      </c>
      <c r="D7" s="5" t="n">
        <v>0.5</v>
      </c>
      <c r="E7" s="4" t="n">
        <v>3000</v>
      </c>
      <c r="F7" s="3" t="inlineStr">
        <is>
          <t>Parking employeur ouvert visiteurs.</t>
        </is>
      </c>
    </row>
    <row r="8">
      <c r="A8" s="3" t="inlineStr">
        <is>
          <t>Voirie publique — AC</t>
        </is>
      </c>
      <c r="B8" s="3" t="inlineStr">
        <is>
          <t>VOI_AC</t>
        </is>
      </c>
      <c r="C8" s="4" t="n">
        <v>2200</v>
      </c>
      <c r="D8" s="5" t="n">
        <v>0.3</v>
      </c>
      <c r="E8" s="4" t="n">
        <v>7330</v>
      </c>
      <c r="F8" s="3" t="inlineStr">
        <is>
          <t>Borne installee en voirie communale.</t>
        </is>
      </c>
    </row>
    <row r="9">
      <c r="A9" s="3" t="inlineStr">
        <is>
          <t>Voirie publique — DC (rapide)</t>
        </is>
      </c>
      <c r="B9" s="3" t="inlineStr">
        <is>
          <t>VOI_DC</t>
        </is>
      </c>
      <c r="C9" s="4" t="n">
        <v>8100</v>
      </c>
      <c r="D9" s="5" t="n">
        <v>0.3</v>
      </c>
      <c r="E9" s="4" t="n">
        <v>27000</v>
      </c>
      <c r="F9" s="3" t="inlineStr">
        <is>
          <t>Charge rapide DC ≥ 50 kW.</t>
        </is>
      </c>
    </row>
    <row r="10">
      <c r="A10" s="3" t="inlineStr">
        <is>
          <t>Parking ouvert public (prive ouvert) — AC</t>
        </is>
      </c>
      <c r="B10" s="3" t="inlineStr">
        <is>
          <t>POP_AC</t>
        </is>
      </c>
      <c r="C10" s="4" t="n">
        <v>1700</v>
      </c>
      <c r="D10" s="5" t="n">
        <v>0.2</v>
      </c>
      <c r="E10" s="4" t="n">
        <v>8500</v>
      </c>
      <c r="F10" s="3" t="inlineStr">
        <is>
          <t>Centre commercial, hotel, etc.</t>
        </is>
      </c>
    </row>
    <row r="11">
      <c r="A11" s="3" t="inlineStr">
        <is>
          <t>Parking ouvert public — DC</t>
        </is>
      </c>
      <c r="B11" s="3" t="inlineStr">
        <is>
          <t>POP_DC</t>
        </is>
      </c>
      <c r="C11" s="4" t="n">
        <v>9000</v>
      </c>
      <c r="D11" s="5" t="n">
        <v>0.2</v>
      </c>
      <c r="E11" s="4" t="n">
        <v>45000</v>
      </c>
      <c r="F11" s="3" t="inlineStr">
        <is>
          <t>Charge rapide DC ≥ 50 kW.</t>
        </is>
      </c>
    </row>
    <row r="12">
      <c r="A12" s="3" t="inlineStr">
        <is>
          <t>Poids lourds (PL)</t>
        </is>
      </c>
      <c r="B12" s="3" t="inlineStr">
        <is>
          <t>PL_DC</t>
        </is>
      </c>
      <c r="C12" s="4" t="n">
        <v>960000</v>
      </c>
      <c r="D12" s="5" t="n">
        <v>0.4</v>
      </c>
      <c r="E12" s="4" t="n">
        <v>2400000</v>
      </c>
      <c r="F12" s="3" t="inlineStr">
        <is>
          <t>Bornes haute puissance ≥ 150 kW.</t>
        </is>
      </c>
    </row>
    <row r="15">
      <c r="A15" s="6" t="inlineStr">
        <is>
          <t>Note : ces montants sont indicatifs et issus du bareme outre-mer 2026.</t>
        </is>
      </c>
    </row>
    <row r="16">
      <c r="A16" s="6" t="inlineStr">
        <is>
          <t>Verifier les valeurs en vigueur avant depot sur https://advenir.mobi</t>
        </is>
      </c>
    </row>
  </sheetData>
  <mergeCells count="3">
    <mergeCell ref="A16:F16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16" customWidth="1" min="5" max="5"/>
    <col width="9" customWidth="1" min="6" max="6"/>
    <col width="16" customWidth="1" min="7" max="7"/>
    <col width="16" customWidth="1" min="8" max="8"/>
    <col width="17" customWidth="1" min="9" max="9"/>
    <col width="14" customWidth="1" min="10" max="10"/>
    <col width="19" customWidth="1" min="11" max="11"/>
    <col width="17" customWidth="1" min="12" max="12"/>
  </cols>
  <sheetData>
    <row r="1">
      <c r="A1" s="1" t="inlineStr">
        <is>
          <t>EGREENCITY'S — Chiffrage ADVENIR par site</t>
        </is>
      </c>
    </row>
    <row r="2">
      <c r="A2" s="7" t="inlineStr">
        <is>
          <t>Editer les colonnes en BLEU. Les colonnes en NOIR sont calculees automatiquement.</t>
        </is>
      </c>
    </row>
    <row r="4" ht="32" customHeight="1">
      <c r="A4" s="2" t="inlineStr">
        <is>
          <t>#</t>
        </is>
      </c>
      <c r="B4" s="2" t="inlineStr">
        <is>
          <t>Commune</t>
        </is>
      </c>
      <c r="C4" s="2" t="inlineStr">
        <is>
          <t>Site / Adresse</t>
        </is>
      </c>
      <c r="D4" s="2" t="inlineStr">
        <is>
          <t>Type de borne</t>
        </is>
      </c>
      <c r="E4" s="2" t="inlineStr">
        <is>
          <t>Cas d'usage (code)</t>
        </is>
      </c>
      <c r="F4" s="2" t="inlineStr">
        <is>
          <t>Nb points</t>
        </is>
      </c>
      <c r="G4" s="2" t="inlineStr">
        <is>
          <t>Cout HT / point (€)</t>
        </is>
      </c>
      <c r="H4" s="2" t="inlineStr">
        <is>
          <t>Cout HT total (€)</t>
        </is>
      </c>
      <c r="I4" s="2" t="inlineStr">
        <is>
          <t>Aide unitaire bareme (€)</t>
        </is>
      </c>
      <c r="J4" s="2" t="inlineStr">
        <is>
          <t>Taux max (% HT)</t>
        </is>
      </c>
      <c r="K4" s="2" t="inlineStr">
        <is>
          <t>Aide ADVENIR calculee (€)</t>
        </is>
      </c>
      <c r="L4" s="2" t="inlineStr">
        <is>
          <t>Reste a charge HT (€)</t>
        </is>
      </c>
    </row>
    <row r="5">
      <c r="A5" s="3" t="n">
        <v>1</v>
      </c>
      <c r="B5" s="3" t="inlineStr">
        <is>
          <t>Cayenne</t>
        </is>
      </c>
      <c r="C5" s="3" t="inlineStr">
        <is>
          <t>Hotel de Ville — parking</t>
        </is>
      </c>
      <c r="D5" s="3" t="inlineStr">
        <is>
          <t>Totem 5 departs (110 kVa)</t>
        </is>
      </c>
      <c r="E5" s="3" t="inlineStr">
        <is>
          <t>VOI_AC</t>
        </is>
      </c>
      <c r="F5" s="3" t="n">
        <v>5</v>
      </c>
      <c r="G5" s="4" t="n">
        <v>11400</v>
      </c>
      <c r="H5" s="8">
        <f>F5*G5</f>
        <v/>
      </c>
      <c r="I5" s="9">
        <f>IFERROR(VLOOKUP(E5,'Bareme ADVENIR'!$B$4:$E$13,2,FALSE),0)</f>
        <v/>
      </c>
      <c r="J5" s="10">
        <f>IFERROR(VLOOKUP(E5,'Bareme ADVENIR'!$B$4:$E$13,3,FALSE),0)</f>
        <v/>
      </c>
      <c r="K5" s="8">
        <f>MIN(I5*F5,H5*J5)</f>
        <v/>
      </c>
      <c r="L5" s="8">
        <f>H5-K5</f>
        <v/>
      </c>
    </row>
    <row r="6">
      <c r="A6" s="11" t="n">
        <v>2</v>
      </c>
      <c r="B6" s="11" t="inlineStr">
        <is>
          <t>Cayenne</t>
        </is>
      </c>
      <c r="C6" s="11" t="inlineStr">
        <is>
          <t>Marche central — voirie</t>
        </is>
      </c>
      <c r="D6" s="11" t="inlineStr">
        <is>
          <t>Totem 3 departs (36 kVa)</t>
        </is>
      </c>
      <c r="E6" s="11" t="inlineStr">
        <is>
          <t>VOI_AC</t>
        </is>
      </c>
      <c r="F6" s="11" t="n">
        <v>3</v>
      </c>
      <c r="G6" s="12" t="n">
        <v>7100</v>
      </c>
      <c r="H6" s="13">
        <f>F6*G6</f>
        <v/>
      </c>
      <c r="I6" s="14">
        <f>IFERROR(VLOOKUP(E6,'Bareme ADVENIR'!$B$4:$E$13,2,FALSE),0)</f>
        <v/>
      </c>
      <c r="J6" s="15">
        <f>IFERROR(VLOOKUP(E6,'Bareme ADVENIR'!$B$4:$E$13,3,FALSE),0)</f>
        <v/>
      </c>
      <c r="K6" s="13">
        <f>MIN(I6*F6,H6*J6)</f>
        <v/>
      </c>
      <c r="L6" s="13">
        <f>H6-K6</f>
        <v/>
      </c>
    </row>
    <row r="7">
      <c r="A7" s="3" t="n">
        <v>3</v>
      </c>
      <c r="B7" s="3" t="inlineStr">
        <is>
          <t>Cayenne</t>
        </is>
      </c>
      <c r="C7" s="3" t="inlineStr">
        <is>
          <t>CHAR — parking visiteurs</t>
        </is>
      </c>
      <c r="D7" s="3" t="inlineStr">
        <is>
          <t>Pied double 2x22 kW</t>
        </is>
      </c>
      <c r="E7" s="3" t="inlineStr">
        <is>
          <t>FLT_ENT</t>
        </is>
      </c>
      <c r="F7" s="3" t="n">
        <v>4</v>
      </c>
      <c r="G7" s="4" t="n">
        <v>5670</v>
      </c>
      <c r="H7" s="8">
        <f>F7*G7</f>
        <v/>
      </c>
      <c r="I7" s="9">
        <f>IFERROR(VLOOKUP(E7,'Bareme ADVENIR'!$B$4:$E$13,2,FALSE),0)</f>
        <v/>
      </c>
      <c r="J7" s="10">
        <f>IFERROR(VLOOKUP(E7,'Bareme ADVENIR'!$B$4:$E$13,3,FALSE),0)</f>
        <v/>
      </c>
      <c r="K7" s="8">
        <f>MIN(I7*F7,H7*J7)</f>
        <v/>
      </c>
      <c r="L7" s="8">
        <f>H7-K7</f>
        <v/>
      </c>
    </row>
    <row r="8">
      <c r="A8" s="11" t="n">
        <v>4</v>
      </c>
      <c r="B8" s="11" t="inlineStr">
        <is>
          <t>Kourou</t>
        </is>
      </c>
      <c r="C8" s="11" t="inlineStr">
        <is>
          <t>CSG — parking salaries</t>
        </is>
      </c>
      <c r="D8" s="11" t="inlineStr">
        <is>
          <t>Pied double 2x22 kW</t>
        </is>
      </c>
      <c r="E8" s="11" t="inlineStr">
        <is>
          <t>SAL_IND</t>
        </is>
      </c>
      <c r="F8" s="11" t="n">
        <v>6</v>
      </c>
      <c r="G8" s="12" t="n">
        <v>5670</v>
      </c>
      <c r="H8" s="13">
        <f>F8*G8</f>
        <v/>
      </c>
      <c r="I8" s="14">
        <f>IFERROR(VLOOKUP(E8,'Bareme ADVENIR'!$B$4:$E$13,2,FALSE),0)</f>
        <v/>
      </c>
      <c r="J8" s="15">
        <f>IFERROR(VLOOKUP(E8,'Bareme ADVENIR'!$B$4:$E$13,3,FALSE),0)</f>
        <v/>
      </c>
      <c r="K8" s="13">
        <f>MIN(I8*F8,H8*J8)</f>
        <v/>
      </c>
      <c r="L8" s="13">
        <f>H8-K8</f>
        <v/>
      </c>
    </row>
    <row r="9">
      <c r="A9" s="3" t="n">
        <v>5</v>
      </c>
      <c r="B9" s="3" t="inlineStr">
        <is>
          <t>Kourou</t>
        </is>
      </c>
      <c r="C9" s="3" t="inlineStr">
        <is>
          <t>Front de mer — voirie</t>
        </is>
      </c>
      <c r="D9" s="3" t="inlineStr">
        <is>
          <t>Totem 3 departs (36 kVa)</t>
        </is>
      </c>
      <c r="E9" s="3" t="inlineStr">
        <is>
          <t>VOI_AC</t>
        </is>
      </c>
      <c r="F9" s="3" t="n">
        <v>2</v>
      </c>
      <c r="G9" s="4" t="n">
        <v>7100</v>
      </c>
      <c r="H9" s="8">
        <f>F9*G9</f>
        <v/>
      </c>
      <c r="I9" s="9">
        <f>IFERROR(VLOOKUP(E9,'Bareme ADVENIR'!$B$4:$E$13,2,FALSE),0)</f>
        <v/>
      </c>
      <c r="J9" s="10">
        <f>IFERROR(VLOOKUP(E9,'Bareme ADVENIR'!$B$4:$E$13,3,FALSE),0)</f>
        <v/>
      </c>
      <c r="K9" s="8">
        <f>MIN(I9*F9,H9*J9)</f>
        <v/>
      </c>
      <c r="L9" s="8">
        <f>H9-K9</f>
        <v/>
      </c>
    </row>
    <row r="10">
      <c r="A10" s="11" t="n">
        <v>6</v>
      </c>
      <c r="B10" s="11" t="inlineStr">
        <is>
          <t>Saint-Laurent-du-Maroni</t>
        </is>
      </c>
      <c r="C10" s="11" t="inlineStr">
        <is>
          <t>Centre administratif</t>
        </is>
      </c>
      <c r="D10" s="11" t="inlineStr">
        <is>
          <t>Totem 3 departs (36 kVa)</t>
        </is>
      </c>
      <c r="E10" s="11" t="inlineStr">
        <is>
          <t>VOI_AC</t>
        </is>
      </c>
      <c r="F10" s="11" t="n">
        <v>3</v>
      </c>
      <c r="G10" s="12" t="n">
        <v>7100</v>
      </c>
      <c r="H10" s="13">
        <f>F10*G10</f>
        <v/>
      </c>
      <c r="I10" s="14">
        <f>IFERROR(VLOOKUP(E10,'Bareme ADVENIR'!$B$4:$E$13,2,FALSE),0)</f>
        <v/>
      </c>
      <c r="J10" s="15">
        <f>IFERROR(VLOOKUP(E10,'Bareme ADVENIR'!$B$4:$E$13,3,FALSE),0)</f>
        <v/>
      </c>
      <c r="K10" s="13">
        <f>MIN(I10*F10,H10*J10)</f>
        <v/>
      </c>
      <c r="L10" s="13">
        <f>H10-K10</f>
        <v/>
      </c>
    </row>
    <row r="11">
      <c r="A11" s="3" t="n">
        <v>7</v>
      </c>
      <c r="B11" s="3" t="inlineStr">
        <is>
          <t>Saint-Laurent-du-Maroni</t>
        </is>
      </c>
      <c r="C11" s="3" t="inlineStr">
        <is>
          <t>Hopital — visiteurs</t>
        </is>
      </c>
      <c r="D11" s="3" t="inlineStr">
        <is>
          <t>Pied solo 1x22 kW</t>
        </is>
      </c>
      <c r="E11" s="3" t="inlineStr">
        <is>
          <t>POP_AC</t>
        </is>
      </c>
      <c r="F11" s="3" t="n">
        <v>3</v>
      </c>
      <c r="G11" s="4" t="n">
        <v>4200</v>
      </c>
      <c r="H11" s="8">
        <f>F11*G11</f>
        <v/>
      </c>
      <c r="I11" s="9">
        <f>IFERROR(VLOOKUP(E11,'Bareme ADVENIR'!$B$4:$E$13,2,FALSE),0)</f>
        <v/>
      </c>
      <c r="J11" s="10">
        <f>IFERROR(VLOOKUP(E11,'Bareme ADVENIR'!$B$4:$E$13,3,FALSE),0)</f>
        <v/>
      </c>
      <c r="K11" s="8">
        <f>MIN(I11*F11,H11*J11)</f>
        <v/>
      </c>
      <c r="L11" s="8">
        <f>H11-K11</f>
        <v/>
      </c>
    </row>
    <row r="12">
      <c r="A12" s="11" t="n">
        <v>8</v>
      </c>
      <c r="B12" s="11" t="inlineStr">
        <is>
          <t>Matoury</t>
        </is>
      </c>
      <c r="C12" s="11" t="inlineStr">
        <is>
          <t>Centre commercial Family Plaza</t>
        </is>
      </c>
      <c r="D12" s="11" t="inlineStr">
        <is>
          <t>Pied double 2x22 kW</t>
        </is>
      </c>
      <c r="E12" s="11" t="inlineStr">
        <is>
          <t>POP_AC</t>
        </is>
      </c>
      <c r="F12" s="11" t="n">
        <v>4</v>
      </c>
      <c r="G12" s="12" t="n">
        <v>5670</v>
      </c>
      <c r="H12" s="13">
        <f>F12*G12</f>
        <v/>
      </c>
      <c r="I12" s="14">
        <f>IFERROR(VLOOKUP(E12,'Bareme ADVENIR'!$B$4:$E$13,2,FALSE),0)</f>
        <v/>
      </c>
      <c r="J12" s="15">
        <f>IFERROR(VLOOKUP(E12,'Bareme ADVENIR'!$B$4:$E$13,3,FALSE),0)</f>
        <v/>
      </c>
      <c r="K12" s="13">
        <f>MIN(I12*F12,H12*J12)</f>
        <v/>
      </c>
      <c r="L12" s="13">
        <f>H12-K12</f>
        <v/>
      </c>
    </row>
    <row r="13">
      <c r="A13" s="3" t="n">
        <v>9</v>
      </c>
      <c r="B13" s="3" t="inlineStr">
        <is>
          <t>Macouria</t>
        </is>
      </c>
      <c r="C13" s="3" t="inlineStr">
        <is>
          <t>RN1 — aire de service</t>
        </is>
      </c>
      <c r="D13" s="3" t="inlineStr">
        <is>
          <t>Borne rapide DC 120 kW</t>
        </is>
      </c>
      <c r="E13" s="3" t="inlineStr">
        <is>
          <t>VOI_DC</t>
        </is>
      </c>
      <c r="F13" s="3" t="n">
        <v>2</v>
      </c>
      <c r="G13" s="4" t="n">
        <v>54500</v>
      </c>
      <c r="H13" s="8">
        <f>F13*G13</f>
        <v/>
      </c>
      <c r="I13" s="9">
        <f>IFERROR(VLOOKUP(E13,'Bareme ADVENIR'!$B$4:$E$13,2,FALSE),0)</f>
        <v/>
      </c>
      <c r="J13" s="10">
        <f>IFERROR(VLOOKUP(E13,'Bareme ADVENIR'!$B$4:$E$13,3,FALSE),0)</f>
        <v/>
      </c>
      <c r="K13" s="8">
        <f>MIN(I13*F13,H13*J13)</f>
        <v/>
      </c>
      <c r="L13" s="8">
        <f>H13-K13</f>
        <v/>
      </c>
    </row>
    <row r="14">
      <c r="A14" s="11" t="n">
        <v>10</v>
      </c>
      <c r="B14" s="11" t="inlineStr">
        <is>
          <t>Remire-Montjoly</t>
        </is>
      </c>
      <c r="C14" s="11" t="inlineStr">
        <is>
          <t>Plage — parking communal</t>
        </is>
      </c>
      <c r="D14" s="11" t="inlineStr">
        <is>
          <t>Pied double 2x22 kW</t>
        </is>
      </c>
      <c r="E14" s="11" t="inlineStr">
        <is>
          <t>VOI_AC</t>
        </is>
      </c>
      <c r="F14" s="11" t="n">
        <v>4</v>
      </c>
      <c r="G14" s="12" t="n">
        <v>5670</v>
      </c>
      <c r="H14" s="13">
        <f>F14*G14</f>
        <v/>
      </c>
      <c r="I14" s="14">
        <f>IFERROR(VLOOKUP(E14,'Bareme ADVENIR'!$B$4:$E$13,2,FALSE),0)</f>
        <v/>
      </c>
      <c r="J14" s="15">
        <f>IFERROR(VLOOKUP(E14,'Bareme ADVENIR'!$B$4:$E$13,3,FALSE),0)</f>
        <v/>
      </c>
      <c r="K14" s="13">
        <f>MIN(I14*F14,H14*J14)</f>
        <v/>
      </c>
      <c r="L14" s="13">
        <f>H14-K14</f>
        <v/>
      </c>
    </row>
    <row r="15">
      <c r="A15" s="3" t="n">
        <v>11</v>
      </c>
      <c r="B15" s="3" t="inlineStr">
        <is>
          <t>Mana</t>
        </is>
      </c>
      <c r="C15" s="3" t="inlineStr">
        <is>
          <t>Mairie</t>
        </is>
      </c>
      <c r="D15" s="3" t="inlineStr">
        <is>
          <t>Pied solo 1x22 kW</t>
        </is>
      </c>
      <c r="E15" s="3" t="inlineStr">
        <is>
          <t>VOI_AC</t>
        </is>
      </c>
      <c r="F15" s="3" t="n">
        <v>2</v>
      </c>
      <c r="G15" s="4" t="n">
        <v>4200</v>
      </c>
      <c r="H15" s="8">
        <f>F15*G15</f>
        <v/>
      </c>
      <c r="I15" s="9">
        <f>IFERROR(VLOOKUP(E15,'Bareme ADVENIR'!$B$4:$E$13,2,FALSE),0)</f>
        <v/>
      </c>
      <c r="J15" s="10">
        <f>IFERROR(VLOOKUP(E15,'Bareme ADVENIR'!$B$4:$E$13,3,FALSE),0)</f>
        <v/>
      </c>
      <c r="K15" s="8">
        <f>MIN(I15*F15,H15*J15)</f>
        <v/>
      </c>
      <c r="L15" s="8">
        <f>H15-K15</f>
        <v/>
      </c>
    </row>
    <row r="16">
      <c r="A16" s="11" t="n">
        <v>12</v>
      </c>
      <c r="B16" s="11" t="inlineStr">
        <is>
          <t>Iracoubo</t>
        </is>
      </c>
      <c r="C16" s="11" t="inlineStr">
        <is>
          <t>Mairie</t>
        </is>
      </c>
      <c r="D16" s="11" t="inlineStr">
        <is>
          <t>Pied solo 1x22 kW</t>
        </is>
      </c>
      <c r="E16" s="11" t="inlineStr">
        <is>
          <t>VOI_AC</t>
        </is>
      </c>
      <c r="F16" s="11" t="n">
        <v>2</v>
      </c>
      <c r="G16" s="12" t="n">
        <v>4200</v>
      </c>
      <c r="H16" s="13">
        <f>F16*G16</f>
        <v/>
      </c>
      <c r="I16" s="14">
        <f>IFERROR(VLOOKUP(E16,'Bareme ADVENIR'!$B$4:$E$13,2,FALSE),0)</f>
        <v/>
      </c>
      <c r="J16" s="15">
        <f>IFERROR(VLOOKUP(E16,'Bareme ADVENIR'!$B$4:$E$13,3,FALSE),0)</f>
        <v/>
      </c>
      <c r="K16" s="13">
        <f>MIN(I16*F16,H16*J16)</f>
        <v/>
      </c>
      <c r="L16" s="13">
        <f>H16-K16</f>
        <v/>
      </c>
    </row>
    <row r="17">
      <c r="A17" s="3" t="n">
        <v>13</v>
      </c>
      <c r="B17" s="3" t="inlineStr">
        <is>
          <t>Roura</t>
        </is>
      </c>
      <c r="C17" s="3" t="inlineStr">
        <is>
          <t>Mairie</t>
        </is>
      </c>
      <c r="D17" s="3" t="inlineStr">
        <is>
          <t>Pied solo 1x22 kW</t>
        </is>
      </c>
      <c r="E17" s="3" t="inlineStr">
        <is>
          <t>VOI_AC</t>
        </is>
      </c>
      <c r="F17" s="3" t="n">
        <v>2</v>
      </c>
      <c r="G17" s="4" t="n">
        <v>4200</v>
      </c>
      <c r="H17" s="8">
        <f>F17*G17</f>
        <v/>
      </c>
      <c r="I17" s="9">
        <f>IFERROR(VLOOKUP(E17,'Bareme ADVENIR'!$B$4:$E$13,2,FALSE),0)</f>
        <v/>
      </c>
      <c r="J17" s="10">
        <f>IFERROR(VLOOKUP(E17,'Bareme ADVENIR'!$B$4:$E$13,3,FALSE),0)</f>
        <v/>
      </c>
      <c r="K17" s="8">
        <f>MIN(I17*F17,H17*J17)</f>
        <v/>
      </c>
      <c r="L17" s="8">
        <f>H17-K17</f>
        <v/>
      </c>
    </row>
    <row r="18">
      <c r="A18" s="11" t="n">
        <v>14</v>
      </c>
      <c r="B18" s="11" t="inlineStr">
        <is>
          <t>Sinnamary</t>
        </is>
      </c>
      <c r="C18" s="11" t="inlineStr">
        <is>
          <t>Bord de mer</t>
        </is>
      </c>
      <c r="D18" s="11" t="inlineStr">
        <is>
          <t>Totem 3 departs (36 kVa)</t>
        </is>
      </c>
      <c r="E18" s="11" t="inlineStr">
        <is>
          <t>VOI_AC</t>
        </is>
      </c>
      <c r="F18" s="11" t="n">
        <v>3</v>
      </c>
      <c r="G18" s="12" t="n">
        <v>7100</v>
      </c>
      <c r="H18" s="13">
        <f>F18*G18</f>
        <v/>
      </c>
      <c r="I18" s="14">
        <f>IFERROR(VLOOKUP(E18,'Bareme ADVENIR'!$B$4:$E$13,2,FALSE),0)</f>
        <v/>
      </c>
      <c r="J18" s="15">
        <f>IFERROR(VLOOKUP(E18,'Bareme ADVENIR'!$B$4:$E$13,3,FALSE),0)</f>
        <v/>
      </c>
      <c r="K18" s="13">
        <f>MIN(I18*F18,H18*J18)</f>
        <v/>
      </c>
      <c r="L18" s="13">
        <f>H18-K18</f>
        <v/>
      </c>
    </row>
    <row r="19">
      <c r="A19" s="3" t="n">
        <v>15</v>
      </c>
      <c r="B19" s="3" t="inlineStr">
        <is>
          <t>Macouria</t>
        </is>
      </c>
      <c r="C19" s="3" t="inlineStr">
        <is>
          <t>Residence collective La Rougerie</t>
        </is>
      </c>
      <c r="D19" s="3" t="inlineStr">
        <is>
          <t>WallBox murale 22 kW</t>
        </is>
      </c>
      <c r="E19" s="3" t="inlineStr">
        <is>
          <t>RES_COL</t>
        </is>
      </c>
      <c r="F19" s="3" t="n">
        <v>6</v>
      </c>
      <c r="G19" s="4" t="n">
        <v>1620</v>
      </c>
      <c r="H19" s="8">
        <f>F19*G19</f>
        <v/>
      </c>
      <c r="I19" s="9">
        <f>IFERROR(VLOOKUP(E19,'Bareme ADVENIR'!$B$4:$E$13,2,FALSE),0)</f>
        <v/>
      </c>
      <c r="J19" s="10">
        <f>IFERROR(VLOOKUP(E19,'Bareme ADVENIR'!$B$4:$E$13,3,FALSE),0)</f>
        <v/>
      </c>
      <c r="K19" s="8">
        <f>MIN(I19*F19,H19*J19)</f>
        <v/>
      </c>
      <c r="L19" s="8">
        <f>H19-K19</f>
        <v/>
      </c>
    </row>
    <row r="21">
      <c r="A21" s="16" t="inlineStr">
        <is>
          <t>TOTAL</t>
        </is>
      </c>
      <c r="F21" s="17">
        <f>SUM(F5:F19)</f>
        <v/>
      </c>
      <c r="H21" s="18">
        <f>SUM(H5:H19)</f>
        <v/>
      </c>
      <c r="K21" s="18">
        <f>SUM(K5:K19)</f>
        <v/>
      </c>
      <c r="L21" s="18">
        <f>SUM(L5:L19)</f>
        <v/>
      </c>
    </row>
    <row r="24">
      <c r="A24" s="19" t="inlineStr">
        <is>
          <t>INDICATEURS CLES</t>
        </is>
      </c>
    </row>
    <row r="26">
      <c r="A26" s="20" t="inlineStr">
        <is>
          <t>Nb total de points de charge</t>
        </is>
      </c>
      <c r="C26" s="21">
        <f>F21</f>
        <v/>
      </c>
    </row>
    <row r="27">
      <c r="A27" s="20" t="inlineStr">
        <is>
          <t>Investissement total HT</t>
        </is>
      </c>
      <c r="C27" s="22">
        <f>H21</f>
        <v/>
      </c>
    </row>
    <row r="28">
      <c r="A28" s="20" t="inlineStr">
        <is>
          <t>Aide ADVENIR sollicitee</t>
        </is>
      </c>
      <c r="C28" s="23">
        <f>K21</f>
        <v/>
      </c>
    </row>
    <row r="29">
      <c r="A29" s="20" t="inlineStr">
        <is>
          <t>Taux moyen d'aide / investissement</t>
        </is>
      </c>
      <c r="C29" s="24">
        <f>K21/H21</f>
        <v/>
      </c>
    </row>
    <row r="30">
      <c r="A30" s="20" t="inlineStr">
        <is>
          <t>Reste a charge HT (autofinancement)</t>
        </is>
      </c>
      <c r="C30" s="22">
        <f>L21</f>
        <v/>
      </c>
    </row>
  </sheetData>
  <mergeCells count="4">
    <mergeCell ref="A21:E21"/>
    <mergeCell ref="A2:L2"/>
    <mergeCell ref="A1:L1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6" customWidth="1" min="4" max="4"/>
  </cols>
  <sheetData>
    <row r="1">
      <c r="A1" s="1" t="inlineStr">
        <is>
          <t>Plan de financement previsionnel — Phase 1</t>
        </is>
      </c>
    </row>
    <row r="3">
      <c r="A3" s="25" t="inlineStr">
        <is>
          <t>Source</t>
        </is>
      </c>
      <c r="B3" s="25" t="inlineStr">
        <is>
          <t>Type</t>
        </is>
      </c>
      <c r="C3" s="25" t="inlineStr">
        <is>
          <t>Montant HT (€)</t>
        </is>
      </c>
      <c r="D3" s="25" t="inlineStr">
        <is>
          <t>Part (% du total)</t>
        </is>
      </c>
    </row>
    <row r="4">
      <c r="A4" s="26" t="inlineStr">
        <is>
          <t>ADVENIR (subvention)</t>
        </is>
      </c>
      <c r="B4" s="27" t="inlineStr">
        <is>
          <t>Aide publique</t>
        </is>
      </c>
      <c r="C4" s="28">
        <f>Chiffrage!K21</f>
        <v/>
      </c>
      <c r="D4" s="29">
        <f>C4/SUM($C$4:$C$8)</f>
        <v/>
      </c>
    </row>
    <row r="5">
      <c r="A5" s="26" t="inlineStr">
        <is>
          <t>Apport associe(s)</t>
        </is>
      </c>
      <c r="B5" s="27" t="inlineStr">
        <is>
          <t>Fonds propres</t>
        </is>
      </c>
      <c r="C5" s="30" t="n">
        <v>30000</v>
      </c>
      <c r="D5" s="29">
        <f>C5/SUM($C$4:$C$8)</f>
        <v/>
      </c>
    </row>
    <row r="6">
      <c r="A6" s="26" t="inlineStr">
        <is>
          <t>Emprunt bancaire</t>
        </is>
      </c>
      <c r="B6" s="27" t="inlineStr">
        <is>
          <t>Dette</t>
        </is>
      </c>
      <c r="C6" s="30" t="n">
        <v>80000</v>
      </c>
      <c r="D6" s="29">
        <f>C6/SUM($C$4:$C$8)</f>
        <v/>
      </c>
    </row>
    <row r="7">
      <c r="A7" s="26" t="inlineStr">
        <is>
          <t>Subvention CTG / FEDER</t>
        </is>
      </c>
      <c r="B7" s="27" t="inlineStr">
        <is>
          <t>Aide regionale</t>
        </is>
      </c>
      <c r="C7" s="30" t="n">
        <v>20000</v>
      </c>
      <c r="D7" s="29">
        <f>C7/SUM($C$4:$C$8)</f>
        <v/>
      </c>
    </row>
    <row r="8">
      <c r="A8" s="26" t="inlineStr">
        <is>
          <t>Autofinancement (CAF)</t>
        </is>
      </c>
      <c r="B8" s="27" t="inlineStr">
        <is>
          <t>Tresorerie</t>
        </is>
      </c>
      <c r="C8" s="30" t="n">
        <v>0</v>
      </c>
      <c r="D8" s="29">
        <f>C8/SUM($C$4:$C$8)</f>
        <v/>
      </c>
    </row>
    <row r="10">
      <c r="A10" s="31" t="inlineStr">
        <is>
          <t>TOTAL</t>
        </is>
      </c>
      <c r="B10" s="32" t="n"/>
      <c r="C10" s="33">
        <f>SUM(C4:C8)</f>
        <v/>
      </c>
      <c r="D10" s="34">
        <f>SUM(D4:D8)</f>
        <v/>
      </c>
    </row>
    <row r="12">
      <c r="A12" s="35" t="inlineStr">
        <is>
          <t>Le total doit egaler l'investissement HT calcule en feuille 'Chiffrage'.</t>
        </is>
      </c>
    </row>
    <row r="13">
      <c r="A13" s="20" t="inlineStr">
        <is>
          <t>Chiffrage feuille 2 — Investissement HT total :</t>
        </is>
      </c>
      <c r="C13" s="36">
        <f>Chiffrage!H21</f>
        <v/>
      </c>
    </row>
    <row r="14">
      <c r="A14" s="20" t="inlineStr">
        <is>
          <t>Plan financement total :</t>
        </is>
      </c>
      <c r="C14" s="22">
        <f>C10</f>
        <v/>
      </c>
    </row>
    <row r="15">
      <c r="A15" s="20" t="inlineStr">
        <is>
          <t>Ecart (doit etre 0) :</t>
        </is>
      </c>
      <c r="C15" s="23">
        <f>C13-C14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2026-04-27T06:59:04Z</dcterms:created>
  <dcterms:modified xmlns:dcterms="http://purl.org/dc/terms/" xmlns:xsi="http://www.w3.org/2001/XMLSchema-instance" xsi:type="dcterms:W3CDTF">2026-04-27T06:59:04Z</dcterms:modified>
</cp:coreProperties>
</file>