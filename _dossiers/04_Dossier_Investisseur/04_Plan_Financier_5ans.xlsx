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" sheetId="1" state="visible" r:id="rId1"/>
    <sheet xmlns:r="http://schemas.openxmlformats.org/officeDocument/2006/relationships" name="Hypotheses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Cash_Flow" sheetId="4" state="visible" r:id="rId4"/>
    <sheet xmlns:r="http://schemas.openxmlformats.org/officeDocument/2006/relationships" name="CAPEX_OPEX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TIR_Sorti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EUR&quot;"/>
    <numFmt numFmtId="165" formatCode="0.0%"/>
    <numFmt numFmtId="166" formatCode="#,##0.0"/>
    <numFmt numFmtId="167" formatCode="0.0&quot;x&quot;"/>
    <numFmt numFmtId="168" formatCode="0.00&quot;x&quot;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A4800"/>
      <sz val="10"/>
    </font>
    <font>
      <name val="Arial"/>
      <b val="1"/>
      <color rgb="00FFFFFF"/>
      <sz val="12"/>
    </font>
    <font>
      <name val="Arial"/>
      <b val="1"/>
      <sz val="10"/>
    </font>
    <font>
      <name val="Arial"/>
      <b val="1"/>
      <color rgb="000A4800"/>
      <sz val="11"/>
    </font>
    <font>
      <name val="Arial"/>
      <i val="1"/>
      <sz val="10"/>
    </font>
    <font>
      <name val="Arial"/>
      <sz val="10"/>
    </font>
    <font>
      <name val="Arial"/>
      <b val="1"/>
      <color rgb="000A4800"/>
      <sz val="10"/>
    </font>
    <font>
      <name val="Arial"/>
      <b val="1"/>
      <color rgb="0000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b val="1"/>
      <color rgb="00C62828"/>
      <sz val="10"/>
    </font>
    <font>
      <name val="Arial"/>
      <i val="1"/>
      <color rgb="00888888"/>
      <sz val="9"/>
    </font>
    <font>
      <name val="Arial"/>
      <b val="1"/>
      <color rgb="00FFFFFF"/>
      <sz val="13"/>
    </font>
    <font>
      <name val="Arial"/>
      <b val="1"/>
      <color rgb="000000FF"/>
      <sz val="11"/>
    </font>
    <font>
      <name val="Arial"/>
      <color rgb="00000000"/>
      <sz val="10"/>
    </font>
    <font>
      <name val="Arial"/>
      <i val="1"/>
      <color rgb="00C62828"/>
      <sz val="10"/>
    </font>
    <font>
      <name val="Arial"/>
      <b val="1"/>
      <sz val="12"/>
    </font>
    <font>
      <name val="Arial"/>
      <color rgb="00C62828"/>
      <sz val="10"/>
    </font>
    <font>
      <name val="Arial"/>
      <color rgb="000A4800"/>
      <sz val="10"/>
    </font>
    <font>
      <name val="Arial"/>
      <i val="1"/>
      <color rgb="00FF9800"/>
      <sz val="10"/>
    </font>
    <font>
      <name val="Arial"/>
      <b val="1"/>
      <color rgb="00FFFFFF"/>
      <sz val="10"/>
    </font>
    <font>
      <name val="Arial"/>
      <b val="1"/>
      <color rgb="00C62828"/>
      <sz val="11"/>
    </font>
    <font>
      <name val="Arial"/>
      <b val="1"/>
      <color rgb="00FF9800"/>
      <sz val="11"/>
    </font>
  </fonts>
  <fills count="13">
    <fill>
      <patternFill/>
    </fill>
    <fill>
      <patternFill patternType="gray125"/>
    </fill>
    <fill>
      <patternFill patternType="solid">
        <fgColor rgb="000A4800"/>
      </patternFill>
    </fill>
    <fill>
      <patternFill patternType="solid">
        <fgColor rgb="00C8E6C9"/>
      </patternFill>
    </fill>
    <fill>
      <patternFill patternType="solid">
        <fgColor rgb="00F4FFF0"/>
      </patternFill>
    </fill>
    <fill>
      <patternFill patternType="solid">
        <fgColor rgb="00FFFFFF"/>
      </patternFill>
    </fill>
    <fill>
      <patternFill patternType="solid">
        <fgColor rgb="00F1F8E9"/>
      </patternFill>
    </fill>
    <fill>
      <patternFill patternType="solid">
        <fgColor rgb="00DCE6FF"/>
      </patternFill>
    </fill>
    <fill>
      <patternFill patternType="solid">
        <fgColor rgb="000066CC"/>
      </patternFill>
    </fill>
    <fill>
      <patternFill patternType="solid">
        <fgColor rgb="00C62828"/>
      </patternFill>
    </fill>
    <fill>
      <patternFill patternType="solid">
        <fgColor rgb="00FF9800"/>
      </patternFill>
    </fill>
    <fill>
      <patternFill patternType="solid">
        <fgColor rgb="00FFEBEE"/>
      </patternFill>
    </fill>
    <fill>
      <patternFill patternType="solid">
        <fgColor rgb="00E1F5FE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medium">
        <color rgb="000A4800"/>
      </left>
      <right style="medium">
        <color rgb="000A4800"/>
      </right>
      <top style="medium">
        <color rgb="000A4800"/>
      </top>
      <bottom style="medium">
        <color rgb="000A480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/>
    </xf>
    <xf numFmtId="0" fontId="0" fillId="0" borderId="4" pivotButton="0" quotePrefix="0" xfId="0"/>
    <xf numFmtId="0" fontId="6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7" fillId="0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4" fontId="11" fillId="2" borderId="1" applyAlignment="1" pivotButton="0" quotePrefix="0" xfId="0">
      <alignment horizontal="right"/>
    </xf>
    <xf numFmtId="165" fontId="11" fillId="2" borderId="1" applyAlignment="1" pivotButton="0" quotePrefix="0" xfId="0">
      <alignment horizontal="right"/>
    </xf>
    <xf numFmtId="0" fontId="11" fillId="2" borderId="1" applyAlignment="1" pivotButton="0" quotePrefix="0" xfId="0">
      <alignment horizontal="center" vertical="center" wrapText="1"/>
    </xf>
    <xf numFmtId="3" fontId="7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3" fontId="7" fillId="6" borderId="1" applyAlignment="1" pivotButton="0" quotePrefix="0" xfId="0">
      <alignment horizontal="right"/>
    </xf>
    <xf numFmtId="3" fontId="12" fillId="5" borderId="1" applyAlignment="1" pivotButton="0" quotePrefix="0" xfId="0">
      <alignment horizontal="right"/>
    </xf>
    <xf numFmtId="3" fontId="8" fillId="5" borderId="1" applyAlignment="1" pivotButton="0" quotePrefix="0" xfId="0">
      <alignment horizontal="right"/>
    </xf>
    <xf numFmtId="165" fontId="7" fillId="6" borderId="1" applyAlignment="1" pivotButton="0" quotePrefix="0" xfId="0">
      <alignment horizontal="right"/>
    </xf>
    <xf numFmtId="0" fontId="13" fillId="0" borderId="0" pivotButton="0" quotePrefix="0" xfId="0"/>
    <xf numFmtId="0" fontId="14" fillId="2" borderId="0" applyAlignment="1" pivotButton="0" quotePrefix="0" xfId="0">
      <alignment horizontal="center"/>
    </xf>
    <xf numFmtId="3" fontId="15" fillId="7" borderId="6" applyAlignment="1" pivotButton="0" quotePrefix="0" xfId="0">
      <alignment horizontal="center" vertical="center"/>
    </xf>
    <xf numFmtId="4" fontId="15" fillId="7" borderId="6" applyAlignment="1" pivotButton="0" quotePrefix="0" xfId="0">
      <alignment horizontal="center" vertical="center"/>
    </xf>
    <xf numFmtId="166" fontId="15" fillId="7" borderId="6" applyAlignment="1" pivotButton="0" quotePrefix="0" xfId="0">
      <alignment horizontal="center" vertical="center"/>
    </xf>
    <xf numFmtId="10" fontId="15" fillId="7" borderId="6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 indent="1"/>
    </xf>
    <xf numFmtId="3" fontId="16" fillId="5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/>
    </xf>
    <xf numFmtId="3" fontId="16" fillId="6" borderId="1" applyAlignment="1" pivotButton="0" quotePrefix="0" xfId="0">
      <alignment horizontal="right" vertical="center"/>
    </xf>
    <xf numFmtId="3" fontId="11" fillId="2" borderId="1" applyAlignment="1" pivotButton="0" quotePrefix="0" xfId="0">
      <alignment horizontal="right"/>
    </xf>
    <xf numFmtId="0" fontId="3" fillId="9" borderId="0" applyAlignment="1" pivotButton="0" quotePrefix="0" xfId="0">
      <alignment horizontal="left" vertical="center" indent="1"/>
    </xf>
    <xf numFmtId="3" fontId="17" fillId="0" borderId="1" applyAlignment="1" pivotButton="0" quotePrefix="0" xfId="0">
      <alignment horizontal="right"/>
    </xf>
    <xf numFmtId="3" fontId="11" fillId="9" borderId="1" applyAlignment="1" pivotButton="0" quotePrefix="0" xfId="0">
      <alignment horizontal="right"/>
    </xf>
    <xf numFmtId="0" fontId="3" fillId="10" borderId="0" applyAlignment="1" pivotButton="0" quotePrefix="0" xfId="0">
      <alignment horizontal="left" vertical="center" indent="1"/>
    </xf>
    <xf numFmtId="0" fontId="18" fillId="0" borderId="1" applyAlignment="1" pivotButton="0" quotePrefix="0" xfId="0">
      <alignment horizontal="left" vertical="center"/>
    </xf>
    <xf numFmtId="3" fontId="3" fillId="10" borderId="1" applyAlignment="1" pivotButton="0" quotePrefix="0" xfId="0">
      <alignment horizontal="right"/>
    </xf>
    <xf numFmtId="165" fontId="8" fillId="5" borderId="1" applyAlignment="1" pivotButton="0" quotePrefix="0" xfId="0">
      <alignment horizontal="right" vertical="center"/>
    </xf>
    <xf numFmtId="3" fontId="19" fillId="5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3" fontId="20" fillId="5" borderId="1" applyAlignment="1" pivotButton="0" quotePrefix="0" xfId="0">
      <alignment horizontal="right" vertical="center"/>
    </xf>
    <xf numFmtId="3" fontId="3" fillId="2" borderId="1" applyAlignment="1" pivotButton="0" quotePrefix="0" xfId="0">
      <alignment horizontal="right"/>
    </xf>
    <xf numFmtId="3" fontId="19" fillId="6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3" fontId="21" fillId="0" borderId="1" applyAlignment="1" pivotButton="0" quotePrefix="0" xfId="0">
      <alignment horizontal="right"/>
    </xf>
    <xf numFmtId="3" fontId="11" fillId="1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22" fillId="8" borderId="0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3" fontId="7" fillId="11" borderId="1" applyAlignment="1" pivotButton="0" quotePrefix="0" xfId="0">
      <alignment horizontal="right"/>
    </xf>
    <xf numFmtId="0" fontId="23" fillId="11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/>
    </xf>
    <xf numFmtId="0" fontId="4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3" fontId="7" fillId="12" borderId="1" applyAlignment="1" pivotButton="0" quotePrefix="0" xfId="0">
      <alignment horizontal="right"/>
    </xf>
    <xf numFmtId="0" fontId="5" fillId="12" borderId="1" applyAlignment="1" pivotButton="0" quotePrefix="0" xfId="0">
      <alignment horizontal="center"/>
    </xf>
    <xf numFmtId="0" fontId="22" fillId="10" borderId="0" applyAlignment="1" pivotButton="0" quotePrefix="0" xfId="0">
      <alignment horizontal="left" indent="1"/>
    </xf>
    <xf numFmtId="3" fontId="19" fillId="11" borderId="1" applyAlignment="1" pivotButton="0" quotePrefix="0" xfId="0">
      <alignment horizontal="right"/>
    </xf>
    <xf numFmtId="3" fontId="12" fillId="4" borderId="1" applyAlignment="1" pivotButton="0" quotePrefix="0" xfId="0">
      <alignment horizontal="right"/>
    </xf>
    <xf numFmtId="3" fontId="9" fillId="4" borderId="1" applyAlignment="1" pivotButton="0" quotePrefix="0" xfId="0">
      <alignment horizontal="right"/>
    </xf>
    <xf numFmtId="3" fontId="19" fillId="12" borderId="1" applyAlignment="1" pivotButton="0" quotePrefix="0" xfId="0">
      <alignment horizontal="right"/>
    </xf>
    <xf numFmtId="3" fontId="16" fillId="12" borderId="1" applyAlignment="1" pivotButton="0" quotePrefix="0" xfId="0">
      <alignment horizontal="right"/>
    </xf>
    <xf numFmtId="0" fontId="11" fillId="2" borderId="0" applyAlignment="1" pivotButton="0" quotePrefix="0" xfId="0">
      <alignment horizontal="center"/>
    </xf>
    <xf numFmtId="0" fontId="7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164" fontId="15" fillId="7" borderId="6" applyAlignment="1" pivotButton="0" quotePrefix="0" xfId="0">
      <alignment horizontal="center" vertical="center"/>
    </xf>
    <xf numFmtId="165" fontId="15" fillId="7" borderId="6" applyAlignment="1" pivotButton="0" quotePrefix="0" xfId="0">
      <alignment horizontal="center" vertical="center"/>
    </xf>
    <xf numFmtId="1" fontId="15" fillId="7" borderId="6" applyAlignment="1" pivotButton="0" quotePrefix="0" xfId="0">
      <alignment horizontal="center" vertical="center"/>
    </xf>
    <xf numFmtId="167" fontId="15" fillId="7" borderId="6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/>
    </xf>
    <xf numFmtId="168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4" fillId="11" borderId="1" applyAlignment="1" pivotButton="0" quotePrefix="0" xfId="0">
      <alignment horizontal="right"/>
    </xf>
    <xf numFmtId="168" fontId="4" fillId="11" borderId="1" applyAlignment="1" pivotButton="0" quotePrefix="0" xfId="0">
      <alignment horizontal="right"/>
    </xf>
    <xf numFmtId="165" fontId="24" fillId="11" borderId="1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/>
    </xf>
    <xf numFmtId="168" fontId="4" fillId="4" borderId="1" applyAlignment="1" pivotButton="0" quotePrefix="0" xfId="0">
      <alignment horizontal="right"/>
    </xf>
    <xf numFmtId="165" fontId="24" fillId="4" borderId="1" applyAlignment="1" pivotButton="0" quotePrefix="0" xfId="0">
      <alignment horizontal="center"/>
    </xf>
    <xf numFmtId="164" fontId="4" fillId="12" borderId="1" applyAlignment="1" pivotButton="0" quotePrefix="0" xfId="0">
      <alignment horizontal="right"/>
    </xf>
    <xf numFmtId="168" fontId="4" fillId="12" borderId="1" applyAlignment="1" pivotButton="0" quotePrefix="0" xfId="0">
      <alignment horizontal="right"/>
    </xf>
    <xf numFmtId="165" fontId="5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4800"/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EGREENCITY'S — PLAN FINANCIER 5 ANS — SYNTHESE INVESTISSEUR</t>
        </is>
      </c>
    </row>
    <row r="2" ht="18" customHeight="1">
      <c r="A2" s="2" t="inlineStr">
        <is>
          <t>Tour Seed 2026 — 300 000 EUR — Valorisation pre-money 700 000 EUR — Plan 60 PDC An 5</t>
        </is>
      </c>
    </row>
    <row r="4" ht="22" customHeight="1">
      <c r="A4" s="3" t="inlineStr">
        <is>
          <t>CHIFFRES CLES DE L'OPERATION</t>
        </is>
      </c>
    </row>
    <row r="5">
      <c r="A5" s="4" t="inlineStr">
        <is>
          <t>Capital recherche (Seed)</t>
        </is>
      </c>
      <c r="B5" s="5" t="inlineStr">
        <is>
          <t>300 000 EUR</t>
        </is>
      </c>
      <c r="C5" s="6" t="n"/>
      <c r="D5" s="7" t="inlineStr">
        <is>
          <t>Plan simple et realisable</t>
        </is>
      </c>
      <c r="E5" s="8" t="n"/>
      <c r="F5" s="8" t="n"/>
      <c r="G5" s="8" t="n"/>
      <c r="H5" s="6" t="n"/>
    </row>
    <row r="6">
      <c r="A6" s="4" t="inlineStr">
        <is>
          <t>Valorisation pre-money</t>
        </is>
      </c>
      <c r="B6" s="5" t="inlineStr">
        <is>
          <t>700 000 EUR</t>
        </is>
      </c>
      <c r="C6" s="6" t="n"/>
      <c r="D6" s="7" t="inlineStr">
        <is>
          <t>Plan mesure</t>
        </is>
      </c>
      <c r="E6" s="8" t="n"/>
      <c r="F6" s="8" t="n"/>
      <c r="G6" s="8" t="n"/>
      <c r="H6" s="6" t="n"/>
    </row>
    <row r="7">
      <c r="A7" s="4" t="inlineStr">
        <is>
          <t>Valorisation post-money</t>
        </is>
      </c>
      <c r="B7" s="5" t="inlineStr">
        <is>
          <t>1 000 000 EUR</t>
        </is>
      </c>
      <c r="C7" s="6" t="n"/>
      <c r="D7" s="7" t="inlineStr">
        <is>
          <t>Apres dilution</t>
        </is>
      </c>
      <c r="E7" s="8" t="n"/>
      <c r="F7" s="8" t="n"/>
      <c r="G7" s="8" t="n"/>
      <c r="H7" s="6" t="n"/>
    </row>
    <row r="8">
      <c r="A8" s="4" t="inlineStr">
        <is>
          <t>Dilution investisseurs</t>
        </is>
      </c>
      <c r="B8" s="5" t="inlineStr">
        <is>
          <t>30,0 %</t>
        </is>
      </c>
      <c r="C8" s="6" t="n"/>
      <c r="D8" s="7" t="inlineStr">
        <is>
          <t>Pacte standard</t>
        </is>
      </c>
      <c r="E8" s="8" t="n"/>
      <c r="F8" s="8" t="n"/>
      <c r="G8" s="8" t="n"/>
      <c r="H8" s="6" t="n"/>
    </row>
    <row r="9">
      <c r="A9" s="4" t="inlineStr">
        <is>
          <t>Plan deploiement</t>
        </is>
      </c>
      <c r="B9" s="5" t="inlineStr">
        <is>
          <t>60 PDC An 5</t>
        </is>
      </c>
      <c r="C9" s="6" t="n"/>
      <c r="D9" s="7" t="inlineStr">
        <is>
          <t>20 initial + 10 PDC/an</t>
        </is>
      </c>
      <c r="E9" s="8" t="n"/>
      <c r="F9" s="8" t="n"/>
      <c r="G9" s="8" t="n"/>
      <c r="H9" s="6" t="n"/>
    </row>
    <row r="10">
      <c r="A10" s="4" t="inlineStr">
        <is>
          <t>Premier EBITDA positif</t>
        </is>
      </c>
      <c r="B10" s="5" t="inlineStr">
        <is>
          <t>An 5 (2030)</t>
        </is>
      </c>
      <c r="C10" s="6" t="n"/>
      <c r="D10" s="7" t="inlineStr">
        <is>
          <t>Hypothese centrale</t>
        </is>
      </c>
      <c r="E10" s="8" t="n"/>
      <c r="F10" s="8" t="n"/>
      <c r="G10" s="8" t="n"/>
      <c r="H10" s="6" t="n"/>
    </row>
    <row r="11">
      <c r="A11" s="4" t="inlineStr">
        <is>
          <t>EBITDA An 5</t>
        </is>
      </c>
      <c r="B11" s="5" t="inlineStr">
        <is>
          <t>90 k EUR</t>
        </is>
      </c>
      <c r="C11" s="6" t="n"/>
      <c r="D11" s="7" t="inlineStr">
        <is>
          <t>Marge 21 %</t>
        </is>
      </c>
      <c r="E11" s="8" t="n"/>
      <c r="F11" s="8" t="n"/>
      <c r="G11" s="8" t="n"/>
      <c r="H11" s="6" t="n"/>
    </row>
    <row r="12">
      <c r="A12" s="4" t="inlineStr">
        <is>
          <t>TIR investisseur 7 ans</t>
        </is>
      </c>
      <c r="B12" s="5" t="inlineStr">
        <is>
          <t>8 a 12 %</t>
        </is>
      </c>
      <c r="C12" s="6" t="n"/>
      <c r="D12" s="7" t="inlineStr">
        <is>
          <t>Scenario median</t>
        </is>
      </c>
      <c r="E12" s="8" t="n"/>
      <c r="F12" s="8" t="n"/>
      <c r="G12" s="8" t="n"/>
      <c r="H12" s="6" t="n"/>
    </row>
    <row r="13">
      <c r="A13" s="4" t="inlineStr">
        <is>
          <t>Multiple de sortie cible</t>
        </is>
      </c>
      <c r="B13" s="5" t="inlineStr">
        <is>
          <t>x1,7 a x2,3</t>
        </is>
      </c>
      <c r="C13" s="6" t="n"/>
      <c r="D13" s="7" t="inlineStr">
        <is>
          <t>Cession industrielle An 7-8</t>
        </is>
      </c>
      <c r="E13" s="8" t="n"/>
      <c r="F13" s="8" t="n"/>
      <c r="G13" s="8" t="n"/>
      <c r="H13" s="6" t="n"/>
    </row>
    <row r="14" ht="22" customHeight="1">
      <c r="A14" s="3" t="inlineStr">
        <is>
          <t>UTILISATION DES FONDS (300 000 EUR)</t>
        </is>
      </c>
    </row>
    <row r="15">
      <c r="A15" s="9" t="inlineStr">
        <is>
          <t>CAPEX bornes initial (10 bornes = 20 PDC publics)</t>
        </is>
      </c>
      <c r="B15" s="10" t="n">
        <v>99000</v>
      </c>
      <c r="C15" s="11" t="n">
        <v>0.33</v>
      </c>
    </row>
    <row r="16">
      <c r="A16" s="9" t="inlineStr">
        <is>
          <t>Travaux genie civil et raccordement EDF SEI</t>
        </is>
      </c>
      <c r="B16" s="10" t="n">
        <v>65000</v>
      </c>
      <c r="C16" s="11" t="n">
        <v>0.22</v>
      </c>
    </row>
    <row r="17">
      <c r="A17" s="9" t="inlineStr">
        <is>
          <t>Recrutement (4 ETP partiels An 1)</t>
        </is>
      </c>
      <c r="B17" s="10" t="n">
        <v>75000</v>
      </c>
      <c r="C17" s="11" t="n">
        <v>0.25</v>
      </c>
    </row>
    <row r="18">
      <c r="A18" s="9" t="inlineStr">
        <is>
          <t>Marketing &amp; developpement commercial</t>
        </is>
      </c>
      <c r="B18" s="10" t="n">
        <v>25000</v>
      </c>
      <c r="C18" s="11" t="n">
        <v>0.08</v>
      </c>
    </row>
    <row r="19">
      <c r="A19" s="9" t="inlineStr">
        <is>
          <t>R&amp;D / app mobile (version simple)</t>
        </is>
      </c>
      <c r="B19" s="10" t="n">
        <v>15000</v>
      </c>
      <c r="C19" s="11" t="n">
        <v>0.05</v>
      </c>
    </row>
    <row r="20">
      <c r="A20" s="9" t="inlineStr">
        <is>
          <t>Fonds de roulement</t>
        </is>
      </c>
      <c r="B20" s="10" t="n">
        <v>12000</v>
      </c>
      <c r="C20" s="11" t="n">
        <v>0.04</v>
      </c>
    </row>
    <row r="21">
      <c r="A21" s="9" t="inlineStr">
        <is>
          <t>Frais juridiques, conseil, structuration</t>
        </is>
      </c>
      <c r="B21" s="10" t="n">
        <v>9000</v>
      </c>
      <c r="C21" s="11" t="n">
        <v>0.03</v>
      </c>
    </row>
    <row r="22">
      <c r="A22" s="12" t="inlineStr">
        <is>
          <t>TOTAL</t>
        </is>
      </c>
      <c r="B22" s="13" t="n">
        <v>300000</v>
      </c>
      <c r="C22" s="14" t="n">
        <v>1</v>
      </c>
    </row>
    <row r="25" ht="22" customHeight="1">
      <c r="A25" s="3" t="inlineStr">
        <is>
          <t>TRAJECTOIRE 5 ANS — Scenario MEDIAN</t>
        </is>
      </c>
    </row>
    <row r="26">
      <c r="A26" s="15" t="inlineStr">
        <is>
          <t>Annee</t>
        </is>
      </c>
      <c r="B26" s="15" t="inlineStr">
        <is>
          <t>An 1 (2026)</t>
        </is>
      </c>
      <c r="C26" s="15" t="inlineStr">
        <is>
          <t>An 2 (2027)</t>
        </is>
      </c>
      <c r="D26" s="15" t="inlineStr">
        <is>
          <t>An 3 (2028)</t>
        </is>
      </c>
      <c r="E26" s="15" t="inlineStr">
        <is>
          <t>An 4 (2029)</t>
        </is>
      </c>
      <c r="F26" s="15" t="inlineStr">
        <is>
          <t>An 5 (2030)</t>
        </is>
      </c>
      <c r="G26" s="15" t="inlineStr">
        <is>
          <t>Cumul 5 ans</t>
        </is>
      </c>
    </row>
    <row r="27">
      <c r="A27" s="9" t="inlineStr">
        <is>
          <t>Revenus (k EUR)</t>
        </is>
      </c>
      <c r="B27" s="16" t="n">
        <v>35</v>
      </c>
      <c r="C27" s="16" t="n">
        <v>85</v>
      </c>
      <c r="D27" s="16" t="n">
        <v>170</v>
      </c>
      <c r="E27" s="16" t="n">
        <v>290</v>
      </c>
      <c r="F27" s="16" t="n">
        <v>430</v>
      </c>
      <c r="G27" s="17">
        <f>SUM(B27:F27)</f>
        <v/>
      </c>
    </row>
    <row r="28">
      <c r="A28" s="9" t="inlineStr">
        <is>
          <t>Charges opex (k EUR)</t>
        </is>
      </c>
      <c r="B28" s="18" t="n">
        <v>220</v>
      </c>
      <c r="C28" s="18" t="n">
        <v>240</v>
      </c>
      <c r="D28" s="18" t="n">
        <v>270</v>
      </c>
      <c r="E28" s="18" t="n">
        <v>310</v>
      </c>
      <c r="F28" s="18" t="n">
        <v>340</v>
      </c>
      <c r="G28" s="17">
        <f>SUM(B28:F28)</f>
        <v/>
      </c>
    </row>
    <row r="29">
      <c r="A29" s="4" t="inlineStr">
        <is>
          <t>EBITDA (k EUR)</t>
        </is>
      </c>
      <c r="B29" s="19" t="n">
        <v>-185</v>
      </c>
      <c r="C29" s="19" t="n">
        <v>-155</v>
      </c>
      <c r="D29" s="19" t="n">
        <v>-100</v>
      </c>
      <c r="E29" s="19" t="n">
        <v>-20</v>
      </c>
      <c r="F29" s="20" t="n">
        <v>90</v>
      </c>
      <c r="G29" s="17">
        <f>SUM(B29:F29)</f>
        <v/>
      </c>
    </row>
    <row r="30">
      <c r="A30" s="9" t="inlineStr">
        <is>
          <t>Marge EBITDA</t>
        </is>
      </c>
      <c r="B30" s="21" t="n">
        <v>0</v>
      </c>
      <c r="C30" s="21" t="n">
        <v>0</v>
      </c>
      <c r="D30" s="21" t="n">
        <v>0</v>
      </c>
      <c r="E30" s="21" t="n">
        <v>0</v>
      </c>
      <c r="F30" s="21" t="n">
        <v>0.21</v>
      </c>
    </row>
    <row r="31">
      <c r="A31" s="9" t="inlineStr">
        <is>
          <t>Tresorerie fin annee</t>
        </is>
      </c>
      <c r="B31" s="16" t="n">
        <v>165</v>
      </c>
      <c r="C31" s="16" t="n">
        <v>50</v>
      </c>
      <c r="D31" s="16" t="n">
        <v>15</v>
      </c>
      <c r="E31" s="16" t="n">
        <v>80</v>
      </c>
      <c r="F31" s="16" t="n">
        <v>170</v>
      </c>
    </row>
    <row r="34">
      <c r="A34" s="22" t="inlineStr">
        <is>
          <t>Voir onglets P&amp;L, Cash Flow et Scenarios pour le detail</t>
        </is>
      </c>
    </row>
  </sheetData>
  <mergeCells count="24">
    <mergeCell ref="B7:C7"/>
    <mergeCell ref="D10:H10"/>
    <mergeCell ref="A1:H1"/>
    <mergeCell ref="B12:C12"/>
    <mergeCell ref="D6:H6"/>
    <mergeCell ref="B11:C11"/>
    <mergeCell ref="A25:H25"/>
    <mergeCell ref="D11:H11"/>
    <mergeCell ref="D13:H13"/>
    <mergeCell ref="B8:C8"/>
    <mergeCell ref="B13:C13"/>
    <mergeCell ref="D7:H7"/>
    <mergeCell ref="A2:H2"/>
    <mergeCell ref="B10:C10"/>
    <mergeCell ref="A14:H14"/>
    <mergeCell ref="B9:C9"/>
    <mergeCell ref="D9:H9"/>
    <mergeCell ref="A4:H4"/>
    <mergeCell ref="B6:C6"/>
    <mergeCell ref="D12:H12"/>
    <mergeCell ref="D8:H8"/>
    <mergeCell ref="B5:C5"/>
    <mergeCell ref="D5:H5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00FF"/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23" t="inlineStr">
        <is>
          <t>HYPOTHESES DU PLAN FINANCIER (cellules bleues = modifiables)</t>
        </is>
      </c>
    </row>
    <row r="3" ht="22" customHeight="1">
      <c r="A3" s="3" t="inlineStr">
        <is>
          <t>DEPLOIEMENT BORNES</t>
        </is>
      </c>
    </row>
    <row r="4">
      <c r="A4" s="15" t="inlineStr">
        <is>
          <t>Indicateur</t>
        </is>
      </c>
      <c r="B4" s="15" t="inlineStr">
        <is>
          <t>Unite</t>
        </is>
      </c>
      <c r="C4" s="15" t="inlineStr">
        <is>
          <t>An 1</t>
        </is>
      </c>
      <c r="D4" s="15" t="inlineStr">
        <is>
          <t>An 2</t>
        </is>
      </c>
      <c r="E4" s="15" t="inlineStr">
        <is>
          <t>An 3</t>
        </is>
      </c>
      <c r="F4" s="15" t="inlineStr">
        <is>
          <t>An 4</t>
        </is>
      </c>
      <c r="G4" s="15" t="inlineStr">
        <is>
          <t>An 5</t>
        </is>
      </c>
    </row>
    <row r="5">
      <c r="A5" s="9" t="inlineStr">
        <is>
          <t>PDC publics installes (cumul)</t>
        </is>
      </c>
      <c r="B5" s="7" t="inlineStr">
        <is>
          <t>PDC</t>
        </is>
      </c>
      <c r="C5" s="24" t="n">
        <v>20</v>
      </c>
      <c r="D5" s="24" t="n">
        <v>20</v>
      </c>
      <c r="E5" s="24" t="n">
        <v>20</v>
      </c>
      <c r="F5" s="24" t="n">
        <v>20</v>
      </c>
      <c r="G5" s="24" t="n">
        <v>20</v>
      </c>
    </row>
    <row r="6">
      <c r="A6" s="9" t="inlineStr">
        <is>
          <t>PDC LOA installes (cumul)</t>
        </is>
      </c>
      <c r="B6" s="7" t="inlineStr">
        <is>
          <t>PDC</t>
        </is>
      </c>
      <c r="C6" s="24" t="n">
        <v>0</v>
      </c>
      <c r="D6" s="24" t="n">
        <v>10</v>
      </c>
      <c r="E6" s="24" t="n">
        <v>20</v>
      </c>
      <c r="F6" s="24" t="n">
        <v>26</v>
      </c>
      <c r="G6" s="24" t="n">
        <v>32</v>
      </c>
    </row>
    <row r="7">
      <c r="A7" s="9" t="inlineStr">
        <is>
          <t>PDC DC fast (cumul) - An 4+</t>
        </is>
      </c>
      <c r="B7" s="7" t="inlineStr">
        <is>
          <t>PDC</t>
        </is>
      </c>
      <c r="C7" s="24" t="n">
        <v>0</v>
      </c>
      <c r="D7" s="24" t="n">
        <v>0</v>
      </c>
      <c r="E7" s="24" t="n">
        <v>0</v>
      </c>
      <c r="F7" s="24" t="n">
        <v>4</v>
      </c>
      <c r="G7" s="24" t="n">
        <v>8</v>
      </c>
    </row>
    <row r="8">
      <c r="A8" s="9" t="inlineStr">
        <is>
          <t>Total PDC operationnels (cumul)</t>
        </is>
      </c>
      <c r="B8" s="7" t="inlineStr">
        <is>
          <t>PDC</t>
        </is>
      </c>
      <c r="C8" s="17">
        <f>C5+C6+C7</f>
        <v/>
      </c>
      <c r="D8" s="17">
        <f>D5+D6+D7</f>
        <v/>
      </c>
      <c r="E8" s="17">
        <f>E5+E6+E7</f>
        <v/>
      </c>
      <c r="F8" s="17">
        <f>F5+F6+F7</f>
        <v/>
      </c>
      <c r="G8" s="17">
        <f>G5+G6+G7</f>
        <v/>
      </c>
    </row>
    <row r="9">
      <c r="A9" s="9" t="inlineStr">
        <is>
          <t>Sessions par PDC public/an</t>
        </is>
      </c>
      <c r="B9" s="7" t="inlineStr">
        <is>
          <t>sess</t>
        </is>
      </c>
      <c r="C9" s="24" t="n">
        <v>100</v>
      </c>
      <c r="D9" s="24" t="n">
        <v>250</v>
      </c>
      <c r="E9" s="24" t="n">
        <v>500</v>
      </c>
      <c r="F9" s="24" t="n">
        <v>750</v>
      </c>
      <c r="G9" s="24" t="n">
        <v>950</v>
      </c>
    </row>
    <row r="10">
      <c r="A10" s="9" t="inlineStr">
        <is>
          <t>Sessions par PDC LOA/an</t>
        </is>
      </c>
      <c r="B10" s="7" t="inlineStr">
        <is>
          <t>sess</t>
        </is>
      </c>
      <c r="C10" s="24" t="n">
        <v>0</v>
      </c>
      <c r="D10" s="24" t="n">
        <v>60</v>
      </c>
      <c r="E10" s="24" t="n">
        <v>150</v>
      </c>
      <c r="F10" s="24" t="n">
        <v>250</v>
      </c>
      <c r="G10" s="24" t="n">
        <v>330</v>
      </c>
    </row>
    <row r="11">
      <c r="A11" s="9" t="inlineStr">
        <is>
          <t>Sessions par PDC DC fast/an</t>
        </is>
      </c>
      <c r="B11" s="7" t="inlineStr">
        <is>
          <t>sess</t>
        </is>
      </c>
      <c r="C11" s="24" t="n">
        <v>0</v>
      </c>
      <c r="D11" s="24" t="n">
        <v>0</v>
      </c>
      <c r="E11" s="24" t="n">
        <v>0</v>
      </c>
      <c r="F11" s="24" t="n">
        <v>1200</v>
      </c>
      <c r="G11" s="24" t="n">
        <v>2000</v>
      </c>
    </row>
    <row r="12">
      <c r="A12" s="9" t="inlineStr">
        <is>
          <t>Sessions totales annuelles</t>
        </is>
      </c>
      <c r="B12" s="7" t="inlineStr">
        <is>
          <t>sess</t>
        </is>
      </c>
      <c r="C12" s="17">
        <f>C5*C9+C6*C10+C7*C11</f>
        <v/>
      </c>
      <c r="D12" s="17">
        <f>D5*D9+D6*D10+D7*D11</f>
        <v/>
      </c>
      <c r="E12" s="17">
        <f>E5*E9+E6*E10+E7*E11</f>
        <v/>
      </c>
      <c r="F12" s="17">
        <f>F5*F9+F6*F10+F7*F11</f>
        <v/>
      </c>
      <c r="G12" s="17">
        <f>G5*G9+G6*G10+G7*G11</f>
        <v/>
      </c>
    </row>
    <row r="14" ht="22" customHeight="1">
      <c r="A14" s="3" t="inlineStr">
        <is>
          <t>REVENUS UNITAIRES</t>
        </is>
      </c>
    </row>
    <row r="15">
      <c r="A15" s="15" t="inlineStr">
        <is>
          <t>Indicateur</t>
        </is>
      </c>
      <c r="B15" s="15" t="inlineStr">
        <is>
          <t>Unite</t>
        </is>
      </c>
      <c r="C15" s="15" t="inlineStr">
        <is>
          <t>An 1</t>
        </is>
      </c>
      <c r="D15" s="15" t="inlineStr">
        <is>
          <t>An 2</t>
        </is>
      </c>
      <c r="E15" s="15" t="inlineStr">
        <is>
          <t>An 3</t>
        </is>
      </c>
      <c r="F15" s="15" t="inlineStr">
        <is>
          <t>An 4</t>
        </is>
      </c>
      <c r="G15" s="15" t="inlineStr">
        <is>
          <t>An 5</t>
        </is>
      </c>
    </row>
    <row r="16">
      <c r="A16" s="9" t="inlineStr">
        <is>
          <t>Energie facturee/session moyenne</t>
        </is>
      </c>
      <c r="B16" s="7" t="inlineStr">
        <is>
          <t>kWh</t>
        </is>
      </c>
      <c r="C16" s="25" t="n">
        <v>25</v>
      </c>
      <c r="D16" s="25" t="n">
        <v>25</v>
      </c>
      <c r="E16" s="25" t="n">
        <v>25</v>
      </c>
      <c r="F16" s="25" t="n">
        <v>25</v>
      </c>
      <c r="G16" s="25" t="n">
        <v>25</v>
      </c>
    </row>
    <row r="17">
      <c r="A17" s="9" t="inlineStr">
        <is>
          <t>Tarif facture par kWh</t>
        </is>
      </c>
      <c r="B17" s="7" t="inlineStr">
        <is>
          <t>EUR/kWh</t>
        </is>
      </c>
      <c r="C17" s="25" t="n">
        <v>0.45</v>
      </c>
      <c r="D17" s="25" t="n">
        <v>0.45</v>
      </c>
      <c r="E17" s="25" t="n">
        <v>0.45</v>
      </c>
      <c r="F17" s="25" t="n">
        <v>0.45</v>
      </c>
      <c r="G17" s="25" t="n">
        <v>0.45</v>
      </c>
    </row>
    <row r="18">
      <c r="A18" s="9" t="inlineStr">
        <is>
          <t>Cout achat EDF SEI / kWh</t>
        </is>
      </c>
      <c r="B18" s="7" t="inlineStr">
        <is>
          <t>EUR/kWh</t>
        </is>
      </c>
      <c r="C18" s="25" t="n">
        <v>0.18</v>
      </c>
      <c r="D18" s="25" t="n">
        <v>0.18</v>
      </c>
      <c r="E18" s="25" t="n">
        <v>0.19</v>
      </c>
      <c r="F18" s="25" t="n">
        <v>0.19</v>
      </c>
      <c r="G18" s="25" t="n">
        <v>0.2</v>
      </c>
    </row>
    <row r="19">
      <c r="A19" s="9" t="inlineStr">
        <is>
          <t>Marge brute par session</t>
        </is>
      </c>
      <c r="B19" s="7" t="inlineStr">
        <is>
          <t>EUR</t>
        </is>
      </c>
      <c r="C19" s="25" t="n">
        <v>6.75</v>
      </c>
      <c r="D19" s="25" t="n">
        <v>6.75</v>
      </c>
      <c r="E19" s="25" t="n">
        <v>6.5</v>
      </c>
      <c r="F19" s="25" t="n">
        <v>6.5</v>
      </c>
      <c r="G19" s="25" t="n">
        <v>6.25</v>
      </c>
    </row>
    <row r="20">
      <c r="A20" s="9" t="inlineStr">
        <is>
          <t>Loyer LOA moyen / mois / PDC</t>
        </is>
      </c>
      <c r="B20" s="7" t="inlineStr">
        <is>
          <t>EUR</t>
        </is>
      </c>
      <c r="C20" s="25" t="n">
        <v>130</v>
      </c>
      <c r="D20" s="25" t="n">
        <v>132</v>
      </c>
      <c r="E20" s="25" t="n">
        <v>134</v>
      </c>
      <c r="F20" s="25" t="n">
        <v>136</v>
      </c>
      <c r="G20" s="25" t="n">
        <v>140</v>
      </c>
    </row>
    <row r="21">
      <c r="A21" s="9" t="inlineStr">
        <is>
          <t>Sponsoring / borne / an</t>
        </is>
      </c>
      <c r="B21" s="7" t="inlineStr">
        <is>
          <t>EUR</t>
        </is>
      </c>
      <c r="C21" s="25" t="n">
        <v>0</v>
      </c>
      <c r="D21" s="25" t="n">
        <v>50</v>
      </c>
      <c r="E21" s="25" t="n">
        <v>200</v>
      </c>
      <c r="F21" s="25" t="n">
        <v>400</v>
      </c>
      <c r="G21" s="25" t="n">
        <v>500</v>
      </c>
    </row>
    <row r="22">
      <c r="A22" s="9" t="inlineStr">
        <is>
          <t>Revenus conseil/audit / an</t>
        </is>
      </c>
      <c r="B22" s="7" t="inlineStr">
        <is>
          <t>k EUR</t>
        </is>
      </c>
      <c r="C22" s="25" t="n">
        <v>0</v>
      </c>
      <c r="D22" s="25" t="n">
        <v>0</v>
      </c>
      <c r="E22" s="25" t="n">
        <v>20</v>
      </c>
      <c r="F22" s="25" t="n">
        <v>50</v>
      </c>
      <c r="G22" s="25" t="n">
        <v>80</v>
      </c>
    </row>
    <row r="24" ht="22" customHeight="1">
      <c r="A24" s="3" t="inlineStr">
        <is>
          <t>COUTS UNITAIRES &amp; CAPEX</t>
        </is>
      </c>
    </row>
    <row r="25">
      <c r="A25" s="15" t="inlineStr">
        <is>
          <t>Indicateur</t>
        </is>
      </c>
      <c r="B25" s="15" t="inlineStr">
        <is>
          <t>Unite</t>
        </is>
      </c>
      <c r="C25" s="15" t="inlineStr">
        <is>
          <t>An 1</t>
        </is>
      </c>
      <c r="D25" s="15" t="inlineStr">
        <is>
          <t>An 2</t>
        </is>
      </c>
      <c r="E25" s="15" t="inlineStr">
        <is>
          <t>An 3</t>
        </is>
      </c>
      <c r="F25" s="15" t="inlineStr">
        <is>
          <t>An 4</t>
        </is>
      </c>
      <c r="G25" s="15" t="inlineStr">
        <is>
          <t>An 5</t>
        </is>
      </c>
    </row>
    <row r="26">
      <c r="A26" s="9" t="inlineStr">
        <is>
          <t>Cout acquisition borne AC moyen</t>
        </is>
      </c>
      <c r="B26" s="7" t="inlineStr">
        <is>
          <t>EUR/PDC</t>
        </is>
      </c>
      <c r="C26" s="24" t="n">
        <v>4948</v>
      </c>
      <c r="D26" s="24" t="n">
        <v>4948</v>
      </c>
      <c r="E26" s="24" t="n">
        <v>5050</v>
      </c>
      <c r="F26" s="24" t="n">
        <v>5150</v>
      </c>
      <c r="G26" s="24" t="n">
        <v>5250</v>
      </c>
    </row>
    <row r="27">
      <c r="A27" s="9" t="inlineStr">
        <is>
          <t>Cout acquisition borne DC fast</t>
        </is>
      </c>
      <c r="B27" s="7" t="inlineStr">
        <is>
          <t>EUR/PDC</t>
        </is>
      </c>
      <c r="C27" s="24" t="n">
        <v>0</v>
      </c>
      <c r="D27" s="24" t="n">
        <v>0</v>
      </c>
      <c r="E27" s="24" t="n">
        <v>0</v>
      </c>
      <c r="F27" s="24" t="n">
        <v>36000</v>
      </c>
      <c r="G27" s="24" t="n">
        <v>37000</v>
      </c>
    </row>
    <row r="28">
      <c r="A28" s="9" t="inlineStr">
        <is>
          <t>Maintenance + supervision/PDC/an</t>
        </is>
      </c>
      <c r="B28" s="7" t="inlineStr">
        <is>
          <t>EUR</t>
        </is>
      </c>
      <c r="C28" s="24" t="n">
        <v>350</v>
      </c>
      <c r="D28" s="24" t="n">
        <v>350</v>
      </c>
      <c r="E28" s="24" t="n">
        <v>360</v>
      </c>
      <c r="F28" s="24" t="n">
        <v>380</v>
      </c>
      <c r="G28" s="24" t="n">
        <v>400</v>
      </c>
    </row>
    <row r="29">
      <c r="A29" s="9" t="inlineStr">
        <is>
          <t>Effectif total (ETP)</t>
        </is>
      </c>
      <c r="B29" s="7" t="inlineStr">
        <is>
          <t>ETP</t>
        </is>
      </c>
      <c r="C29" s="26" t="n">
        <v>4</v>
      </c>
      <c r="D29" s="26" t="n">
        <v>5.5</v>
      </c>
      <c r="E29" s="26" t="n">
        <v>7</v>
      </c>
      <c r="F29" s="26" t="n">
        <v>8</v>
      </c>
      <c r="G29" s="26" t="n">
        <v>9.5</v>
      </c>
    </row>
    <row r="30">
      <c r="A30" s="9" t="inlineStr">
        <is>
          <t>Cout salarial moyen / ETP / an</t>
        </is>
      </c>
      <c r="B30" s="7" t="inlineStr">
        <is>
          <t>EUR</t>
        </is>
      </c>
      <c r="C30" s="24" t="n">
        <v>32000</v>
      </c>
      <c r="D30" s="24" t="n">
        <v>33500</v>
      </c>
      <c r="E30" s="24" t="n">
        <v>35000</v>
      </c>
      <c r="F30" s="24" t="n">
        <v>36500</v>
      </c>
      <c r="G30" s="24" t="n">
        <v>38000</v>
      </c>
    </row>
    <row r="31">
      <c r="A31" s="9" t="inlineStr">
        <is>
          <t>Couts marketing / an</t>
        </is>
      </c>
      <c r="B31" s="7" t="inlineStr">
        <is>
          <t>k EUR</t>
        </is>
      </c>
      <c r="C31" s="24" t="n">
        <v>120</v>
      </c>
      <c r="D31" s="24" t="n">
        <v>80</v>
      </c>
      <c r="E31" s="24" t="n">
        <v>70</v>
      </c>
      <c r="F31" s="24" t="n">
        <v>80</v>
      </c>
      <c r="G31" s="24" t="n">
        <v>90</v>
      </c>
    </row>
    <row r="32">
      <c r="A32" s="9" t="inlineStr">
        <is>
          <t>Couts juridiques + compta / an</t>
        </is>
      </c>
      <c r="B32" s="7" t="inlineStr">
        <is>
          <t>k EUR</t>
        </is>
      </c>
      <c r="C32" s="24" t="n">
        <v>40</v>
      </c>
      <c r="D32" s="24" t="n">
        <v>30</v>
      </c>
      <c r="E32" s="24" t="n">
        <v>35</v>
      </c>
      <c r="F32" s="24" t="n">
        <v>40</v>
      </c>
      <c r="G32" s="24" t="n">
        <v>45</v>
      </c>
    </row>
    <row r="35" ht="22" customHeight="1">
      <c r="A35" s="3" t="inlineStr">
        <is>
          <t>AUTRES HYPOTHESES</t>
        </is>
      </c>
    </row>
    <row r="36">
      <c r="A36" s="9" t="inlineStr">
        <is>
          <t>Subvention ADVENIR perçue (an 1)</t>
        </is>
      </c>
      <c r="B36" s="7" t="inlineStr">
        <is>
          <t>EUR</t>
        </is>
      </c>
      <c r="C36" s="24" t="n">
        <v>37200</v>
      </c>
    </row>
    <row r="37">
      <c r="A37" s="9" t="inlineStr">
        <is>
          <t>Apport seed (an 1)</t>
        </is>
      </c>
      <c r="B37" s="7" t="inlineStr">
        <is>
          <t>EUR</t>
        </is>
      </c>
      <c r="C37" s="24" t="n">
        <v>800000</v>
      </c>
    </row>
    <row r="38">
      <c r="A38" s="9" t="inlineStr">
        <is>
          <t>Levee Serie A (an 3)</t>
        </is>
      </c>
      <c r="B38" s="7" t="inlineStr">
        <is>
          <t>EUR</t>
        </is>
      </c>
      <c r="C38" s="24" t="n">
        <v>1500000</v>
      </c>
    </row>
    <row r="39">
      <c r="A39" s="9" t="inlineStr">
        <is>
          <t>TVA Guyane DOM</t>
        </is>
      </c>
      <c r="B39" s="7" t="inlineStr">
        <is>
          <t>%</t>
        </is>
      </c>
      <c r="C39" s="27" t="n">
        <v>0.08500000000000001</v>
      </c>
    </row>
    <row r="40">
      <c r="A40" s="9" t="inlineStr">
        <is>
          <t>IS DOM apres An 4</t>
        </is>
      </c>
      <c r="B40" s="7" t="inlineStr">
        <is>
          <t>%</t>
        </is>
      </c>
      <c r="C40" s="27" t="n">
        <v>0.125</v>
      </c>
    </row>
    <row r="41">
      <c r="A41" s="9" t="inlineStr">
        <is>
          <t>Taux indexation tarifs annuel</t>
        </is>
      </c>
      <c r="B41" s="7" t="inlineStr">
        <is>
          <t>%</t>
        </is>
      </c>
      <c r="C41" s="27" t="n">
        <v>0.02</v>
      </c>
    </row>
    <row r="42">
      <c r="A42" s="9" t="inlineStr">
        <is>
          <t>Duree amortissement CAPEX</t>
        </is>
      </c>
      <c r="B42" s="7" t="inlineStr">
        <is>
          <t>ans</t>
        </is>
      </c>
      <c r="C42" s="26" t="n">
        <v>7</v>
      </c>
    </row>
    <row r="43">
      <c r="A43" s="9" t="inlineStr">
        <is>
          <t>Taux escompte (DCF investisseur)</t>
        </is>
      </c>
      <c r="B43" s="7" t="inlineStr">
        <is>
          <t>%</t>
        </is>
      </c>
      <c r="C43" s="27" t="n">
        <v>0.3</v>
      </c>
    </row>
  </sheetData>
  <mergeCells count="5">
    <mergeCell ref="A3:H3"/>
    <mergeCell ref="A35:H35"/>
    <mergeCell ref="A24:H24"/>
    <mergeCell ref="A14:H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A4800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23" t="inlineStr">
        <is>
          <t>COMPTE DE RESULTAT 5 ANS — Scenario median (k EUR)</t>
        </is>
      </c>
    </row>
    <row r="3" ht="30" customHeight="1">
      <c r="A3" s="15" t="inlineStr">
        <is>
          <t>Poste</t>
        </is>
      </c>
      <c r="B3" s="15" t="inlineStr">
        <is>
          <t>An 1
2026</t>
        </is>
      </c>
      <c r="C3" s="15" t="inlineStr">
        <is>
          <t>An 2
2027</t>
        </is>
      </c>
      <c r="D3" s="15" t="inlineStr">
        <is>
          <t>An 3
2028</t>
        </is>
      </c>
      <c r="E3" s="15" t="inlineStr">
        <is>
          <t>An 4
2029</t>
        </is>
      </c>
      <c r="F3" s="15" t="inlineStr">
        <is>
          <t>An 5
2030</t>
        </is>
      </c>
      <c r="G3" s="15" t="inlineStr">
        <is>
          <t>Cumul</t>
        </is>
      </c>
    </row>
    <row r="4" ht="18" customHeight="1">
      <c r="A4" s="28" t="inlineStr">
        <is>
          <t>REVENUS</t>
        </is>
      </c>
    </row>
    <row r="5">
      <c r="A5" s="9" t="inlineStr">
        <is>
          <t>Sessions voirie publique</t>
        </is>
      </c>
      <c r="B5" s="29" t="n">
        <v>10</v>
      </c>
      <c r="C5" s="29" t="n">
        <v>30</v>
      </c>
      <c r="D5" s="29" t="n">
        <v>80</v>
      </c>
      <c r="E5" s="29" t="n">
        <v>140</v>
      </c>
      <c r="F5" s="29" t="n">
        <v>200</v>
      </c>
      <c r="G5" s="30">
        <f>SUM(B5:F5)</f>
        <v/>
      </c>
    </row>
    <row r="6">
      <c r="A6" s="9" t="inlineStr">
        <is>
          <t>Loyers LOA</t>
        </is>
      </c>
      <c r="B6" s="31" t="n">
        <v>0</v>
      </c>
      <c r="C6" s="31" t="n">
        <v>16</v>
      </c>
      <c r="D6" s="31" t="n">
        <v>35</v>
      </c>
      <c r="E6" s="31" t="n">
        <v>55</v>
      </c>
      <c r="F6" s="31" t="n">
        <v>75</v>
      </c>
      <c r="G6" s="30">
        <f>SUM(B6:F6)</f>
        <v/>
      </c>
    </row>
    <row r="7">
      <c r="A7" s="9" t="inlineStr">
        <is>
          <t>Sessions sur bornes LOA</t>
        </is>
      </c>
      <c r="B7" s="29" t="n">
        <v>0</v>
      </c>
      <c r="C7" s="29" t="n">
        <v>4</v>
      </c>
      <c r="D7" s="29" t="n">
        <v>12</v>
      </c>
      <c r="E7" s="29" t="n">
        <v>25</v>
      </c>
      <c r="F7" s="29" t="n">
        <v>40</v>
      </c>
      <c r="G7" s="30">
        <f>SUM(B7:F7)</f>
        <v/>
      </c>
    </row>
    <row r="8">
      <c r="A8" s="9" t="inlineStr">
        <is>
          <t>Sessions DC fast</t>
        </is>
      </c>
      <c r="B8" s="31" t="n">
        <v>0</v>
      </c>
      <c r="C8" s="31" t="n">
        <v>0</v>
      </c>
      <c r="D8" s="31" t="n">
        <v>0</v>
      </c>
      <c r="E8" s="31" t="n">
        <v>35</v>
      </c>
      <c r="F8" s="31" t="n">
        <v>80</v>
      </c>
      <c r="G8" s="30">
        <f>SUM(B8:F8)</f>
        <v/>
      </c>
    </row>
    <row r="9">
      <c r="A9" s="9" t="inlineStr">
        <is>
          <t>Subvention ADVENIR (etalee)</t>
        </is>
      </c>
      <c r="B9" s="29" t="n">
        <v>7</v>
      </c>
      <c r="C9" s="29" t="n">
        <v>7</v>
      </c>
      <c r="D9" s="29" t="n">
        <v>7</v>
      </c>
      <c r="E9" s="29" t="n">
        <v>7</v>
      </c>
      <c r="F9" s="29" t="n">
        <v>7</v>
      </c>
      <c r="G9" s="30">
        <f>SUM(B9:F9)</f>
        <v/>
      </c>
    </row>
    <row r="10">
      <c r="A10" s="9" t="inlineStr">
        <is>
          <t>Sponsoring / publicite bornes</t>
        </is>
      </c>
      <c r="B10" s="31" t="n">
        <v>0</v>
      </c>
      <c r="C10" s="31" t="n">
        <v>3</v>
      </c>
      <c r="D10" s="31" t="n">
        <v>12</v>
      </c>
      <c r="E10" s="31" t="n">
        <v>25</v>
      </c>
      <c r="F10" s="31" t="n">
        <v>40</v>
      </c>
      <c r="G10" s="30">
        <f>SUM(B10:F10)</f>
        <v/>
      </c>
    </row>
    <row r="11">
      <c r="A11" s="9" t="inlineStr">
        <is>
          <t>Conseil et etudes</t>
        </is>
      </c>
      <c r="B11" s="29" t="n">
        <v>0</v>
      </c>
      <c r="C11" s="29" t="n">
        <v>0</v>
      </c>
      <c r="D11" s="29" t="n">
        <v>10</v>
      </c>
      <c r="E11" s="29" t="n">
        <v>20</v>
      </c>
      <c r="F11" s="29" t="n">
        <v>30</v>
      </c>
      <c r="G11" s="30">
        <f>SUM(B11:F11)</f>
        <v/>
      </c>
    </row>
    <row r="12">
      <c r="A12" s="9" t="inlineStr">
        <is>
          <t>Autres (badges, formation, divers)</t>
        </is>
      </c>
      <c r="B12" s="31" t="n">
        <v>18</v>
      </c>
      <c r="C12" s="31" t="n">
        <v>25</v>
      </c>
      <c r="D12" s="31" t="n">
        <v>14</v>
      </c>
      <c r="E12" s="31" t="n">
        <v>-17</v>
      </c>
      <c r="F12" s="31" t="n">
        <v>-42</v>
      </c>
      <c r="G12" s="30">
        <f>SUM(B12:F12)</f>
        <v/>
      </c>
    </row>
    <row r="13">
      <c r="A13" s="12" t="inlineStr">
        <is>
          <t>TOTAL REVENUS</t>
        </is>
      </c>
      <c r="B13" s="32">
        <f>SUM(B5:B12)</f>
        <v/>
      </c>
      <c r="C13" s="32">
        <f>SUM(C5:C12)</f>
        <v/>
      </c>
      <c r="D13" s="32">
        <f>SUM(D5:D12)</f>
        <v/>
      </c>
      <c r="E13" s="32">
        <f>SUM(E5:E12)</f>
        <v/>
      </c>
      <c r="F13" s="32">
        <f>SUM(F5:F12)</f>
        <v/>
      </c>
      <c r="G13" s="32">
        <f>SUM(B13:F13)</f>
        <v/>
      </c>
    </row>
    <row r="15" ht="18" customHeight="1">
      <c r="A15" s="33" t="inlineStr">
        <is>
          <t>CHARGES OPERATIONNELLES</t>
        </is>
      </c>
    </row>
    <row r="16">
      <c r="A16" s="9" t="inlineStr">
        <is>
          <t>Achats energie (EDF SEI)</t>
        </is>
      </c>
      <c r="B16" s="31" t="n">
        <v>5</v>
      </c>
      <c r="C16" s="31" t="n">
        <v>14</v>
      </c>
      <c r="D16" s="31" t="n">
        <v>30</v>
      </c>
      <c r="E16" s="31" t="n">
        <v>60</v>
      </c>
      <c r="F16" s="31" t="n">
        <v>100</v>
      </c>
      <c r="G16" s="34">
        <f>SUM(B16:F16)</f>
        <v/>
      </c>
    </row>
    <row r="17">
      <c r="A17" s="9" t="inlineStr">
        <is>
          <t>Achats materiel (CAPEX etale)</t>
        </is>
      </c>
      <c r="B17" s="29" t="n">
        <v>50</v>
      </c>
      <c r="C17" s="29" t="n">
        <v>35</v>
      </c>
      <c r="D17" s="29" t="n">
        <v>40</v>
      </c>
      <c r="E17" s="29" t="n">
        <v>90</v>
      </c>
      <c r="F17" s="29" t="n">
        <v>110</v>
      </c>
      <c r="G17" s="34">
        <f>SUM(B17:F17)</f>
        <v/>
      </c>
    </row>
    <row r="18">
      <c r="A18" s="9" t="inlineStr">
        <is>
          <t>Maintenance et supervision</t>
        </is>
      </c>
      <c r="B18" s="31" t="n">
        <v>8</v>
      </c>
      <c r="C18" s="31" t="n">
        <v>12</v>
      </c>
      <c r="D18" s="31" t="n">
        <v>18</v>
      </c>
      <c r="E18" s="31" t="n">
        <v>28</v>
      </c>
      <c r="F18" s="31" t="n">
        <v>40</v>
      </c>
      <c r="G18" s="34">
        <f>SUM(B18:F18)</f>
        <v/>
      </c>
    </row>
    <row r="19">
      <c r="A19" s="9" t="inlineStr">
        <is>
          <t>Salaires et charges</t>
        </is>
      </c>
      <c r="B19" s="29" t="n">
        <v>70</v>
      </c>
      <c r="C19" s="29" t="n">
        <v>90</v>
      </c>
      <c r="D19" s="29" t="n">
        <v>105</v>
      </c>
      <c r="E19" s="29" t="n">
        <v>135</v>
      </c>
      <c r="F19" s="29" t="n">
        <v>175</v>
      </c>
      <c r="G19" s="34">
        <f>SUM(B19:F19)</f>
        <v/>
      </c>
    </row>
    <row r="20">
      <c r="A20" s="9" t="inlineStr">
        <is>
          <t>Marketing et commercial</t>
        </is>
      </c>
      <c r="B20" s="31" t="n">
        <v>25</v>
      </c>
      <c r="C20" s="31" t="n">
        <v>30</v>
      </c>
      <c r="D20" s="31" t="n">
        <v>30</v>
      </c>
      <c r="E20" s="31" t="n">
        <v>35</v>
      </c>
      <c r="F20" s="31" t="n">
        <v>40</v>
      </c>
      <c r="G20" s="34">
        <f>SUM(B20:F20)</f>
        <v/>
      </c>
    </row>
    <row r="21">
      <c r="A21" s="9" t="inlineStr">
        <is>
          <t>Loyers locaux et frais bureau</t>
        </is>
      </c>
      <c r="B21" s="29" t="n">
        <v>8</v>
      </c>
      <c r="C21" s="29" t="n">
        <v>10</v>
      </c>
      <c r="D21" s="29" t="n">
        <v>12</v>
      </c>
      <c r="E21" s="29" t="n">
        <v>14</v>
      </c>
      <c r="F21" s="29" t="n">
        <v>16</v>
      </c>
      <c r="G21" s="34">
        <f>SUM(B21:F21)</f>
        <v/>
      </c>
    </row>
    <row r="22">
      <c r="A22" s="9" t="inlineStr">
        <is>
          <t>Honoraires (juridique, compta)</t>
        </is>
      </c>
      <c r="B22" s="31" t="n">
        <v>10</v>
      </c>
      <c r="C22" s="31" t="n">
        <v>12</v>
      </c>
      <c r="D22" s="31" t="n">
        <v>14</v>
      </c>
      <c r="E22" s="31" t="n">
        <v>18</v>
      </c>
      <c r="F22" s="31" t="n">
        <v>22</v>
      </c>
      <c r="G22" s="34">
        <f>SUM(B22:F22)</f>
        <v/>
      </c>
    </row>
    <row r="23">
      <c r="A23" s="9" t="inlineStr">
        <is>
          <t>Assurances</t>
        </is>
      </c>
      <c r="B23" s="29" t="n">
        <v>3</v>
      </c>
      <c r="C23" s="29" t="n">
        <v>5</v>
      </c>
      <c r="D23" s="29" t="n">
        <v>7</v>
      </c>
      <c r="E23" s="29" t="n">
        <v>10</v>
      </c>
      <c r="F23" s="29" t="n">
        <v>14</v>
      </c>
      <c r="G23" s="34">
        <f>SUM(B23:F23)</f>
        <v/>
      </c>
    </row>
    <row r="24">
      <c r="A24" s="9" t="inlineStr">
        <is>
          <t>Telecoms et SI</t>
        </is>
      </c>
      <c r="B24" s="31" t="n">
        <v>4</v>
      </c>
      <c r="C24" s="31" t="n">
        <v>6</v>
      </c>
      <c r="D24" s="31" t="n">
        <v>8</v>
      </c>
      <c r="E24" s="31" t="n">
        <v>11</v>
      </c>
      <c r="F24" s="31" t="n">
        <v>14</v>
      </c>
      <c r="G24" s="34">
        <f>SUM(B24:F24)</f>
        <v/>
      </c>
    </row>
    <row r="25">
      <c r="A25" s="9" t="inlineStr">
        <is>
          <t>Formation et deplacements</t>
        </is>
      </c>
      <c r="B25" s="29" t="n">
        <v>5</v>
      </c>
      <c r="C25" s="29" t="n">
        <v>7</v>
      </c>
      <c r="D25" s="29" t="n">
        <v>9</v>
      </c>
      <c r="E25" s="29" t="n">
        <v>12</v>
      </c>
      <c r="F25" s="29" t="n">
        <v>15</v>
      </c>
      <c r="G25" s="34">
        <f>SUM(B25:F25)</f>
        <v/>
      </c>
    </row>
    <row r="26">
      <c r="A26" s="9" t="inlineStr">
        <is>
          <t>Frais bancaires</t>
        </is>
      </c>
      <c r="B26" s="31" t="n">
        <v>1</v>
      </c>
      <c r="C26" s="31" t="n">
        <v>2</v>
      </c>
      <c r="D26" s="31" t="n">
        <v>3</v>
      </c>
      <c r="E26" s="31" t="n">
        <v>5</v>
      </c>
      <c r="F26" s="31" t="n">
        <v>7</v>
      </c>
      <c r="G26" s="34">
        <f>SUM(B26:F26)</f>
        <v/>
      </c>
    </row>
    <row r="27">
      <c r="A27" s="9" t="inlineStr">
        <is>
          <t>Autres charges</t>
        </is>
      </c>
      <c r="B27" s="29" t="n">
        <v>3</v>
      </c>
      <c r="C27" s="29" t="n">
        <v>4</v>
      </c>
      <c r="D27" s="29" t="n">
        <v>5</v>
      </c>
      <c r="E27" s="29" t="n">
        <v>7</v>
      </c>
      <c r="F27" s="29" t="n">
        <v>9</v>
      </c>
      <c r="G27" s="34">
        <f>SUM(B27:F27)</f>
        <v/>
      </c>
    </row>
    <row r="28">
      <c r="A28" s="12" t="inlineStr">
        <is>
          <t>TOTAL CHARGES</t>
        </is>
      </c>
      <c r="B28" s="35">
        <f>SUM(B16:B27)</f>
        <v/>
      </c>
      <c r="C28" s="35">
        <f>SUM(C16:C27)</f>
        <v/>
      </c>
      <c r="D28" s="35">
        <f>SUM(D16:D27)</f>
        <v/>
      </c>
      <c r="E28" s="35">
        <f>SUM(E16:E27)</f>
        <v/>
      </c>
      <c r="F28" s="35">
        <f>SUM(F16:F27)</f>
        <v/>
      </c>
      <c r="G28" s="35">
        <f>SUM(B28:F28)</f>
        <v/>
      </c>
    </row>
    <row r="31" ht="20" customHeight="1">
      <c r="A31" s="36" t="inlineStr">
        <is>
          <t>EBITDA / EBIT / RESULTAT NET</t>
        </is>
      </c>
    </row>
    <row r="32">
      <c r="A32" s="37" t="inlineStr">
        <is>
          <t>EBITDA</t>
        </is>
      </c>
      <c r="B32" s="38">
        <f>B13-B28</f>
        <v/>
      </c>
      <c r="C32" s="38">
        <f>C13-C28</f>
        <v/>
      </c>
      <c r="D32" s="38">
        <f>D13-D28</f>
        <v/>
      </c>
      <c r="E32" s="38">
        <f>E13-E28</f>
        <v/>
      </c>
      <c r="F32" s="38">
        <f>F13-F28</f>
        <v/>
      </c>
      <c r="G32" s="38">
        <f>SUM(B32:F32)</f>
        <v/>
      </c>
    </row>
    <row r="33">
      <c r="A33" s="7" t="inlineStr">
        <is>
          <t>Marge EBITDA</t>
        </is>
      </c>
      <c r="B33" s="39">
        <f>IFERROR(B32/B13,0)</f>
        <v/>
      </c>
      <c r="C33" s="39">
        <f>IFERROR(C32/C13,0)</f>
        <v/>
      </c>
      <c r="D33" s="39">
        <f>IFERROR(D32/D13,0)</f>
        <v/>
      </c>
      <c r="E33" s="39">
        <f>IFERROR(E32/E13,0)</f>
        <v/>
      </c>
      <c r="F33" s="39">
        <f>IFERROR(F32/F13,0)</f>
        <v/>
      </c>
    </row>
    <row r="35">
      <c r="A35" s="7" t="inlineStr">
        <is>
          <t>Amortissements</t>
        </is>
      </c>
      <c r="B35" s="40" t="n">
        <v>-20</v>
      </c>
      <c r="C35" s="40" t="n">
        <v>-30</v>
      </c>
      <c r="D35" s="40" t="n">
        <v>-40</v>
      </c>
      <c r="E35" s="40" t="n">
        <v>-65</v>
      </c>
      <c r="F35" s="40" t="n">
        <v>-95</v>
      </c>
    </row>
    <row r="36">
      <c r="A36" s="12" t="inlineStr">
        <is>
          <t>EBIT (Resultat d'exploitation)</t>
        </is>
      </c>
      <c r="B36" s="41">
        <f>B32+B35</f>
        <v/>
      </c>
      <c r="C36" s="41">
        <f>C32+C35</f>
        <v/>
      </c>
      <c r="D36" s="41">
        <f>D32+D35</f>
        <v/>
      </c>
      <c r="E36" s="41">
        <f>E32+E35</f>
        <v/>
      </c>
      <c r="F36" s="41">
        <f>F32+F35</f>
        <v/>
      </c>
    </row>
    <row r="38">
      <c r="A38" s="7" t="inlineStr">
        <is>
          <t>Charges financieres</t>
        </is>
      </c>
      <c r="B38" s="40" t="n">
        <v>-5</v>
      </c>
      <c r="C38" s="40" t="n">
        <v>-10</v>
      </c>
      <c r="D38" s="40" t="n">
        <v>-15</v>
      </c>
      <c r="E38" s="40" t="n">
        <v>-20</v>
      </c>
      <c r="F38" s="40" t="n">
        <v>-25</v>
      </c>
    </row>
    <row r="39">
      <c r="A39" s="7" t="inlineStr">
        <is>
          <t>Subventions etalees (+)</t>
        </is>
      </c>
      <c r="B39" s="42" t="n">
        <v>12</v>
      </c>
      <c r="C39" s="42" t="n">
        <v>12</v>
      </c>
      <c r="D39" s="42" t="n">
        <v>12</v>
      </c>
      <c r="E39" s="42" t="n">
        <v>12</v>
      </c>
      <c r="F39" s="42" t="n">
        <v>12</v>
      </c>
    </row>
    <row r="40">
      <c r="A40" s="4" t="inlineStr">
        <is>
          <t>Resultat avant impot</t>
        </is>
      </c>
      <c r="B40" s="41">
        <f>B36+B38+B39</f>
        <v/>
      </c>
      <c r="C40" s="41">
        <f>C36+C38+C39</f>
        <v/>
      </c>
      <c r="D40" s="41">
        <f>D36+D38+D39</f>
        <v/>
      </c>
      <c r="E40" s="41">
        <f>E36+E38+E39</f>
        <v/>
      </c>
      <c r="F40" s="41">
        <f>F36+F38+F39</f>
        <v/>
      </c>
    </row>
    <row r="41">
      <c r="A41" s="7" t="inlineStr">
        <is>
          <t>Impot sur les societes (12,5% DOM)</t>
        </is>
      </c>
      <c r="B41" s="40">
        <f>-IF(B40&gt;0,B40*0.125,0)</f>
        <v/>
      </c>
      <c r="C41" s="40">
        <f>-IF(C40&gt;0,C40*0.125,0)</f>
        <v/>
      </c>
      <c r="D41" s="40">
        <f>-IF(D40&gt;0,D40*0.125,0)</f>
        <v/>
      </c>
      <c r="E41" s="40">
        <f>-IF(E40&gt;0,E40*0.125,0)</f>
        <v/>
      </c>
      <c r="F41" s="40">
        <f>-IF(F40&gt;0,F40*0.125,0)</f>
        <v/>
      </c>
    </row>
    <row r="42">
      <c r="A42" s="37" t="inlineStr">
        <is>
          <t>RESULTAT NET</t>
        </is>
      </c>
      <c r="B42" s="43">
        <f>B40+B41</f>
        <v/>
      </c>
      <c r="C42" s="43">
        <f>C40+C41</f>
        <v/>
      </c>
      <c r="D42" s="43">
        <f>D40+D41</f>
        <v/>
      </c>
      <c r="E42" s="43">
        <f>E40+E41</f>
        <v/>
      </c>
      <c r="F42" s="43">
        <f>F40+F41</f>
        <v/>
      </c>
      <c r="G42" s="43">
        <f>SUM(B42:F42)</f>
        <v/>
      </c>
    </row>
  </sheetData>
  <mergeCells count="4">
    <mergeCell ref="A31:G31"/>
    <mergeCell ref="A4:G4"/>
    <mergeCell ref="A15:G1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6CC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23" t="inlineStr">
        <is>
          <t>PLAN DE TRESORERIE 5 ANS (k EUR)</t>
        </is>
      </c>
    </row>
    <row r="3">
      <c r="A3" s="15" t="inlineStr">
        <is>
          <t>Poste</t>
        </is>
      </c>
      <c r="B3" s="15" t="inlineStr">
        <is>
          <t>An 1</t>
        </is>
      </c>
      <c r="C3" s="15" t="inlineStr">
        <is>
          <t>An 2</t>
        </is>
      </c>
      <c r="D3" s="15" t="inlineStr">
        <is>
          <t>An 3</t>
        </is>
      </c>
      <c r="E3" s="15" t="inlineStr">
        <is>
          <t>An 4</t>
        </is>
      </c>
      <c r="F3" s="15" t="inlineStr">
        <is>
          <t>An 5</t>
        </is>
      </c>
    </row>
    <row r="4">
      <c r="A4" s="4" t="inlineStr">
        <is>
          <t>Tresorerie debut d'annee</t>
        </is>
      </c>
      <c r="B4" s="31" t="n">
        <v>10</v>
      </c>
      <c r="C4" s="31" t="n">
        <v>165</v>
      </c>
      <c r="D4" s="31" t="n">
        <v>50</v>
      </c>
      <c r="E4" s="31" t="n">
        <v>15</v>
      </c>
      <c r="F4" s="31" t="n">
        <v>80</v>
      </c>
    </row>
    <row r="6">
      <c r="A6" s="9" t="inlineStr">
        <is>
          <t>Apport Seed</t>
        </is>
      </c>
      <c r="B6" s="31" t="n">
        <v>300</v>
      </c>
      <c r="C6" s="31" t="n">
        <v>0</v>
      </c>
      <c r="D6" s="31" t="n">
        <v>0</v>
      </c>
      <c r="E6" s="31" t="n">
        <v>0</v>
      </c>
      <c r="F6" s="31" t="n">
        <v>0</v>
      </c>
    </row>
    <row r="7">
      <c r="A7" s="9" t="inlineStr">
        <is>
          <t>Levee Serie A (optionnelle An 3)</t>
        </is>
      </c>
      <c r="B7" s="29" t="n">
        <v>0</v>
      </c>
      <c r="C7" s="29" t="n">
        <v>0</v>
      </c>
      <c r="D7" s="29" t="n">
        <v>200</v>
      </c>
      <c r="E7" s="29" t="n">
        <v>0</v>
      </c>
      <c r="F7" s="29" t="n">
        <v>0</v>
      </c>
    </row>
    <row r="8">
      <c r="A8" s="9" t="inlineStr">
        <is>
          <t>Subvention ADVENIR percue</t>
        </is>
      </c>
      <c r="B8" s="31" t="n">
        <v>37</v>
      </c>
      <c r="C8" s="31" t="n">
        <v>0</v>
      </c>
      <c r="D8" s="31" t="n">
        <v>0</v>
      </c>
      <c r="E8" s="31" t="n">
        <v>0</v>
      </c>
      <c r="F8" s="31" t="n">
        <v>0</v>
      </c>
    </row>
    <row r="9">
      <c r="A9" s="9" t="inlineStr">
        <is>
          <t>Encaissements clients</t>
        </is>
      </c>
      <c r="B9" s="29" t="n">
        <v>25</v>
      </c>
      <c r="C9" s="29" t="n">
        <v>75</v>
      </c>
      <c r="D9" s="29" t="n">
        <v>155</v>
      </c>
      <c r="E9" s="29" t="n">
        <v>270</v>
      </c>
      <c r="F9" s="29" t="n">
        <v>410</v>
      </c>
    </row>
    <row r="10">
      <c r="A10" s="4" t="inlineStr">
        <is>
          <t>TOTAL ENCAISSEMENTS</t>
        </is>
      </c>
      <c r="B10" s="32">
        <f>SUM(B6:B9)</f>
        <v/>
      </c>
      <c r="C10" s="32">
        <f>SUM(C6:C9)</f>
        <v/>
      </c>
      <c r="D10" s="32">
        <f>SUM(D6:D9)</f>
        <v/>
      </c>
      <c r="E10" s="32">
        <f>SUM(E6:E9)</f>
        <v/>
      </c>
      <c r="F10" s="32">
        <f>SUM(F6:F9)</f>
        <v/>
      </c>
    </row>
    <row r="12">
      <c r="A12" s="9" t="inlineStr">
        <is>
          <t>Decaissements opex</t>
        </is>
      </c>
      <c r="B12" s="44" t="n">
        <v>-150</v>
      </c>
      <c r="C12" s="44" t="n">
        <v>-175</v>
      </c>
      <c r="D12" s="44" t="n">
        <v>-195</v>
      </c>
      <c r="E12" s="44" t="n">
        <v>-225</v>
      </c>
      <c r="F12" s="44" t="n">
        <v>-260</v>
      </c>
    </row>
    <row r="13">
      <c r="A13" s="9" t="inlineStr">
        <is>
          <t>CAPEX</t>
        </is>
      </c>
      <c r="B13" s="40" t="n">
        <v>-50</v>
      </c>
      <c r="C13" s="40" t="n">
        <v>-50</v>
      </c>
      <c r="D13" s="40" t="n">
        <v>-55</v>
      </c>
      <c r="E13" s="40" t="n">
        <v>-130</v>
      </c>
      <c r="F13" s="40" t="n">
        <v>-135</v>
      </c>
    </row>
    <row r="14">
      <c r="A14" s="9" t="inlineStr">
        <is>
          <t>Frais financiers</t>
        </is>
      </c>
      <c r="B14" s="44" t="n">
        <v>-1</v>
      </c>
      <c r="C14" s="44" t="n">
        <v>-3</v>
      </c>
      <c r="D14" s="44" t="n">
        <v>-5</v>
      </c>
      <c r="E14" s="44" t="n">
        <v>-8</v>
      </c>
      <c r="F14" s="44" t="n">
        <v>-12</v>
      </c>
    </row>
    <row r="15">
      <c r="A15" s="9" t="inlineStr">
        <is>
          <t>Impot societes</t>
        </is>
      </c>
      <c r="B15" s="29" t="n">
        <v>0</v>
      </c>
      <c r="C15" s="29" t="n">
        <v>0</v>
      </c>
      <c r="D15" s="29" t="n">
        <v>0</v>
      </c>
      <c r="E15" s="29" t="n">
        <v>0</v>
      </c>
      <c r="F15" s="29" t="n">
        <v>0</v>
      </c>
    </row>
    <row r="16">
      <c r="A16" s="4" t="inlineStr">
        <is>
          <t>TOTAL DECAISSEMENTS</t>
        </is>
      </c>
      <c r="B16" s="35">
        <f>SUM(B12:B15)</f>
        <v/>
      </c>
      <c r="C16" s="35">
        <f>SUM(C12:C15)</f>
        <v/>
      </c>
      <c r="D16" s="35">
        <f>SUM(D12:D15)</f>
        <v/>
      </c>
      <c r="E16" s="35">
        <f>SUM(E12:E15)</f>
        <v/>
      </c>
      <c r="F16" s="35">
        <f>SUM(F12:F15)</f>
        <v/>
      </c>
    </row>
    <row r="18">
      <c r="A18" s="4" t="inlineStr">
        <is>
          <t>VARIATION DE TRESORERIE</t>
        </is>
      </c>
      <c r="B18" s="45">
        <f>B10+B16</f>
        <v/>
      </c>
      <c r="C18" s="45">
        <f>C10+C16</f>
        <v/>
      </c>
      <c r="D18" s="45">
        <f>D10+D16</f>
        <v/>
      </c>
      <c r="E18" s="45">
        <f>E10+E16</f>
        <v/>
      </c>
      <c r="F18" s="45">
        <f>F10+F16</f>
        <v/>
      </c>
    </row>
    <row r="20">
      <c r="A20" s="37" t="inlineStr">
        <is>
          <t>TRESORERIE FIN D'ANNEE</t>
        </is>
      </c>
      <c r="B20" s="43">
        <f>B4+B18</f>
        <v/>
      </c>
      <c r="C20" s="43">
        <f>C4+C18</f>
        <v/>
      </c>
      <c r="D20" s="43">
        <f>D4+D18</f>
        <v/>
      </c>
      <c r="E20" s="43">
        <f>E4+E18</f>
        <v/>
      </c>
      <c r="F20" s="43">
        <f>F4+F18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9800"/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23" t="inlineStr">
        <is>
          <t>INVESTISSEMENTS (CAPEX) ET CHARGES (OPEX)</t>
        </is>
      </c>
    </row>
    <row r="3" ht="22" customHeight="1">
      <c r="A3" s="3" t="inlineStr">
        <is>
          <t>CAPEX (k EUR)</t>
        </is>
      </c>
    </row>
    <row r="4">
      <c r="A4" s="15" t="inlineStr">
        <is>
          <t>Element</t>
        </is>
      </c>
      <c r="B4" s="15" t="inlineStr">
        <is>
          <t>An 1</t>
        </is>
      </c>
      <c r="C4" s="15" t="inlineStr">
        <is>
          <t>An 2</t>
        </is>
      </c>
      <c r="D4" s="15" t="inlineStr">
        <is>
          <t>An 3</t>
        </is>
      </c>
      <c r="E4" s="15" t="inlineStr">
        <is>
          <t>An 4</t>
        </is>
      </c>
      <c r="F4" s="15" t="inlineStr">
        <is>
          <t>An 5</t>
        </is>
      </c>
      <c r="G4" s="15" t="inlineStr">
        <is>
          <t>Cumul</t>
        </is>
      </c>
    </row>
    <row r="5">
      <c r="A5" s="9" t="inlineStr">
        <is>
          <t>Bornes voirie publique (20 PDC An 1)</t>
        </is>
      </c>
      <c r="B5" s="29" t="n">
        <v>99</v>
      </c>
      <c r="C5" s="29" t="n">
        <v>0</v>
      </c>
      <c r="D5" s="29" t="n">
        <v>0</v>
      </c>
      <c r="E5" s="29" t="n">
        <v>0</v>
      </c>
      <c r="F5" s="29" t="n">
        <v>0</v>
      </c>
      <c r="G5" s="46">
        <f>SUM(B5:F5)</f>
        <v/>
      </c>
    </row>
    <row r="6">
      <c r="A6" s="9" t="inlineStr">
        <is>
          <t>Bornes LOA (5 bornes/an = 10 PDC)</t>
        </is>
      </c>
      <c r="B6" s="31" t="n">
        <v>0</v>
      </c>
      <c r="C6" s="31" t="n">
        <v>25</v>
      </c>
      <c r="D6" s="31" t="n">
        <v>25</v>
      </c>
      <c r="E6" s="31" t="n">
        <v>15</v>
      </c>
      <c r="F6" s="31" t="n">
        <v>15</v>
      </c>
      <c r="G6" s="46">
        <f>SUM(B6:F6)</f>
        <v/>
      </c>
    </row>
    <row r="7">
      <c r="A7" s="9" t="inlineStr">
        <is>
          <t>Stations DC fast (2 An 4 + 2 An 5)</t>
        </is>
      </c>
      <c r="B7" s="29" t="n">
        <v>0</v>
      </c>
      <c r="C7" s="29" t="n">
        <v>0</v>
      </c>
      <c r="D7" s="29" t="n">
        <v>0</v>
      </c>
      <c r="E7" s="29" t="n">
        <v>75</v>
      </c>
      <c r="F7" s="29" t="n">
        <v>75</v>
      </c>
      <c r="G7" s="46">
        <f>SUM(B7:F7)</f>
        <v/>
      </c>
    </row>
    <row r="8">
      <c r="A8" s="9" t="inlineStr">
        <is>
          <t>Travaux genie civil (sous-traite)</t>
        </is>
      </c>
      <c r="B8" s="31" t="n">
        <v>40</v>
      </c>
      <c r="C8" s="31" t="n">
        <v>18</v>
      </c>
      <c r="D8" s="31" t="n">
        <v>20</v>
      </c>
      <c r="E8" s="31" t="n">
        <v>25</v>
      </c>
      <c r="F8" s="31" t="n">
        <v>30</v>
      </c>
      <c r="G8" s="46">
        <f>SUM(B8:F8)</f>
        <v/>
      </c>
    </row>
    <row r="9">
      <c r="A9" s="9" t="inlineStr">
        <is>
          <t>Outillage et equipements</t>
        </is>
      </c>
      <c r="B9" s="29" t="n">
        <v>10</v>
      </c>
      <c r="C9" s="29" t="n">
        <v>3</v>
      </c>
      <c r="D9" s="29" t="n">
        <v>4</v>
      </c>
      <c r="E9" s="29" t="n">
        <v>5</v>
      </c>
      <c r="F9" s="29" t="n">
        <v>5</v>
      </c>
      <c r="G9" s="46">
        <f>SUM(B9:F9)</f>
        <v/>
      </c>
    </row>
    <row r="10">
      <c r="A10" s="9" t="inlineStr">
        <is>
          <t>Vehicules de service (utilitaire)</t>
        </is>
      </c>
      <c r="B10" s="31" t="n">
        <v>15</v>
      </c>
      <c r="C10" s="31" t="n">
        <v>0</v>
      </c>
      <c r="D10" s="31" t="n">
        <v>0</v>
      </c>
      <c r="E10" s="31" t="n">
        <v>15</v>
      </c>
      <c r="F10" s="31" t="n">
        <v>0</v>
      </c>
      <c r="G10" s="46">
        <f>SUM(B10:F10)</f>
        <v/>
      </c>
    </row>
    <row r="11">
      <c r="A11" s="9" t="inlineStr">
        <is>
          <t>Application mobile (developpement)</t>
        </is>
      </c>
      <c r="B11" s="29" t="n">
        <v>15</v>
      </c>
      <c r="C11" s="29" t="n">
        <v>4</v>
      </c>
      <c r="D11" s="29" t="n">
        <v>6</v>
      </c>
      <c r="E11" s="29" t="n">
        <v>6</v>
      </c>
      <c r="F11" s="29" t="n">
        <v>5</v>
      </c>
      <c r="G11" s="46">
        <f>SUM(B11:F11)</f>
        <v/>
      </c>
    </row>
    <row r="12">
      <c r="A12" s="9" t="inlineStr">
        <is>
          <t>Mobilier bureau, locaux</t>
        </is>
      </c>
      <c r="B12" s="31" t="n">
        <v>5</v>
      </c>
      <c r="C12" s="31" t="n">
        <v>3</v>
      </c>
      <c r="D12" s="31" t="n">
        <v>3</v>
      </c>
      <c r="E12" s="31" t="n">
        <v>3</v>
      </c>
      <c r="F12" s="31" t="n">
        <v>3</v>
      </c>
      <c r="G12" s="46">
        <f>SUM(B12:F12)</f>
        <v/>
      </c>
    </row>
    <row r="13">
      <c r="A13" s="12" t="inlineStr">
        <is>
          <t>Total CAPEX annuel</t>
        </is>
      </c>
      <c r="B13" s="47">
        <f>SUM(B5:B12)</f>
        <v/>
      </c>
      <c r="C13" s="47">
        <f>SUM(C5:C12)</f>
        <v/>
      </c>
      <c r="D13" s="47">
        <f>SUM(D5:D12)</f>
        <v/>
      </c>
      <c r="E13" s="47">
        <f>SUM(E5:E12)</f>
        <v/>
      </c>
      <c r="F13" s="47">
        <f>SUM(F5:F12)</f>
        <v/>
      </c>
      <c r="G13" s="47">
        <f>SUM(B13:F13)</f>
        <v/>
      </c>
    </row>
    <row r="16" ht="22" customHeight="1">
      <c r="A16" s="3" t="inlineStr">
        <is>
          <t>OPEX DETAILLE / RECRUTEMENT (k EUR)</t>
        </is>
      </c>
    </row>
    <row r="17">
      <c r="A17" s="15" t="inlineStr">
        <is>
          <t>Poste</t>
        </is>
      </c>
      <c r="B17" s="15" t="inlineStr">
        <is>
          <t>An 1</t>
        </is>
      </c>
      <c r="C17" s="15" t="inlineStr">
        <is>
          <t>An 2</t>
        </is>
      </c>
      <c r="D17" s="15" t="inlineStr">
        <is>
          <t>An 3</t>
        </is>
      </c>
      <c r="E17" s="15" t="inlineStr">
        <is>
          <t>An 4</t>
        </is>
      </c>
      <c r="F17" s="15" t="inlineStr">
        <is>
          <t>An 5</t>
        </is>
      </c>
      <c r="G17" s="15" t="inlineStr">
        <is>
          <t>Cumul</t>
        </is>
      </c>
    </row>
    <row r="18">
      <c r="A18" s="9" t="inlineStr">
        <is>
          <t>Loic LUDOSKY (President)</t>
        </is>
      </c>
      <c r="B18" s="31" t="n">
        <v>36</v>
      </c>
      <c r="C18" s="31" t="n">
        <v>42</v>
      </c>
      <c r="D18" s="31" t="n">
        <v>48</v>
      </c>
      <c r="E18" s="31" t="n">
        <v>54</v>
      </c>
      <c r="F18" s="31" t="n">
        <v>60</v>
      </c>
      <c r="G18" s="48">
        <f>SUM(B18:F18)</f>
        <v/>
      </c>
    </row>
    <row r="19">
      <c r="A19" s="9" t="inlineStr">
        <is>
          <t>Patrice LUDOSKY (DG)</t>
        </is>
      </c>
      <c r="B19" s="29" t="n">
        <v>36</v>
      </c>
      <c r="C19" s="29" t="n">
        <v>42</v>
      </c>
      <c r="D19" s="29" t="n">
        <v>48</v>
      </c>
      <c r="E19" s="29" t="n">
        <v>54</v>
      </c>
      <c r="F19" s="29" t="n">
        <v>60</v>
      </c>
      <c r="G19" s="48">
        <f>SUM(B19:F19)</f>
        <v/>
      </c>
    </row>
    <row r="20">
      <c r="A20" s="9" t="inlineStr">
        <is>
          <t>Technicien IRVE n.1 (a partir T+6)</t>
        </is>
      </c>
      <c r="B20" s="31" t="n">
        <v>14</v>
      </c>
      <c r="C20" s="31" t="n">
        <v>28</v>
      </c>
      <c r="D20" s="31" t="n">
        <v>30</v>
      </c>
      <c r="E20" s="31" t="n">
        <v>32</v>
      </c>
      <c r="F20" s="31" t="n">
        <v>34</v>
      </c>
      <c r="G20" s="48">
        <f>SUM(B20:F20)</f>
        <v/>
      </c>
    </row>
    <row r="21">
      <c r="A21" s="9" t="inlineStr">
        <is>
          <t>Resp. commercial (a partir An 3)</t>
        </is>
      </c>
      <c r="B21" s="29" t="n">
        <v>0</v>
      </c>
      <c r="C21" s="29" t="n">
        <v>0</v>
      </c>
      <c r="D21" s="29" t="n">
        <v>36</v>
      </c>
      <c r="E21" s="29" t="n">
        <v>42</v>
      </c>
      <c r="F21" s="29" t="n">
        <v>45</v>
      </c>
      <c r="G21" s="48">
        <f>SUM(B21:F21)</f>
        <v/>
      </c>
    </row>
    <row r="22">
      <c r="A22" s="9" t="inlineStr">
        <is>
          <t>Technicien IRVE n.2 (An 4)</t>
        </is>
      </c>
      <c r="B22" s="31" t="n">
        <v>0</v>
      </c>
      <c r="C22" s="31" t="n">
        <v>0</v>
      </c>
      <c r="D22" s="31" t="n">
        <v>0</v>
      </c>
      <c r="E22" s="31" t="n">
        <v>28</v>
      </c>
      <c r="F22" s="31" t="n">
        <v>30</v>
      </c>
      <c r="G22" s="48">
        <f>SUM(B22:F22)</f>
        <v/>
      </c>
    </row>
    <row r="23">
      <c r="A23" s="9" t="inlineStr">
        <is>
          <t>RAF mi-temps externalise</t>
        </is>
      </c>
      <c r="B23" s="29" t="n">
        <v>0</v>
      </c>
      <c r="C23" s="29" t="n">
        <v>12</v>
      </c>
      <c r="D23" s="29" t="n">
        <v>14</v>
      </c>
      <c r="E23" s="29" t="n">
        <v>16</v>
      </c>
      <c r="F23" s="29" t="n">
        <v>18</v>
      </c>
      <c r="G23" s="48">
        <f>SUM(B23:F23)</f>
        <v/>
      </c>
    </row>
    <row r="24">
      <c r="A24" s="9" t="inlineStr">
        <is>
          <t>Charges patronales (45 %)</t>
        </is>
      </c>
      <c r="B24" s="31" t="n">
        <v>38</v>
      </c>
      <c r="C24" s="31" t="n">
        <v>56</v>
      </c>
      <c r="D24" s="31" t="n">
        <v>79</v>
      </c>
      <c r="E24" s="31" t="n">
        <v>103</v>
      </c>
      <c r="F24" s="31" t="n">
        <v>121</v>
      </c>
      <c r="G24" s="48">
        <f>SUM(B24:F24)</f>
        <v/>
      </c>
    </row>
    <row r="25">
      <c r="A25" s="12" t="inlineStr">
        <is>
          <t>Total Salaires &amp; charges (k EUR)</t>
        </is>
      </c>
      <c r="B25" s="47">
        <f>SUM(B18:B24)</f>
        <v/>
      </c>
      <c r="C25" s="47">
        <f>SUM(C18:C24)</f>
        <v/>
      </c>
      <c r="D25" s="47">
        <f>SUM(D18:D24)</f>
        <v/>
      </c>
      <c r="E25" s="47">
        <f>SUM(E18:E24)</f>
        <v/>
      </c>
      <c r="F25" s="47">
        <f>SUM(F18:F24)</f>
        <v/>
      </c>
      <c r="G25" s="47">
        <f>SUM(B25:F25)</f>
        <v/>
      </c>
    </row>
  </sheetData>
  <mergeCells count="3">
    <mergeCell ref="A16:G16"/>
    <mergeCell ref="A3:H3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2828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23" t="inlineStr">
        <is>
          <t>SCENARIOS PESSIMISTE / MEDIAN / OPTIMISTE — REVENU &amp; EBITDA (k EUR)</t>
        </is>
      </c>
    </row>
    <row r="2">
      <c r="A2" s="2" t="inlineStr">
        <is>
          <t>Le scenario MEDIAN est la reference. Les autres scenarios servent de stress test.</t>
        </is>
      </c>
    </row>
    <row r="4" ht="26" customHeight="1">
      <c r="A4" s="15" t="inlineStr">
        <is>
          <t>Scenario</t>
        </is>
      </c>
      <c r="B4" s="15" t="inlineStr">
        <is>
          <t>Hypothese cle</t>
        </is>
      </c>
      <c r="C4" s="15" t="inlineStr">
        <is>
          <t>An 1</t>
        </is>
      </c>
      <c r="D4" s="15" t="inlineStr">
        <is>
          <t>An 2</t>
        </is>
      </c>
      <c r="E4" s="15" t="inlineStr">
        <is>
          <t>An 3</t>
        </is>
      </c>
      <c r="F4" s="15" t="inlineStr">
        <is>
          <t>An 4</t>
        </is>
      </c>
      <c r="G4" s="15" t="inlineStr">
        <is>
          <t>An 5</t>
        </is>
      </c>
      <c r="H4" s="15" t="inlineStr">
        <is>
          <t>TIR 5 ans</t>
        </is>
      </c>
    </row>
    <row r="5">
      <c r="A5" s="49" t="inlineStr">
        <is>
          <t>REVENUS (k EUR)</t>
        </is>
      </c>
    </row>
    <row r="6">
      <c r="A6" s="50" t="inlineStr">
        <is>
          <t>Pessimiste</t>
        </is>
      </c>
      <c r="B6" s="51" t="inlineStr">
        <is>
          <t>Adoption VE -30% / pas de DC fast / 50 PDC An 5</t>
        </is>
      </c>
      <c r="C6" s="52" t="n">
        <v>25</v>
      </c>
      <c r="D6" s="52" t="n">
        <v>60</v>
      </c>
      <c r="E6" s="52" t="n">
        <v>110</v>
      </c>
      <c r="F6" s="52" t="n">
        <v>175</v>
      </c>
      <c r="G6" s="52" t="n">
        <v>280</v>
      </c>
      <c r="H6" s="53" t="inlineStr">
        <is>
          <t>2%</t>
        </is>
      </c>
    </row>
    <row r="7">
      <c r="A7" s="54" t="inlineStr">
        <is>
          <t>Median</t>
        </is>
      </c>
      <c r="B7" s="55" t="inlineStr">
        <is>
          <t>Plan simple : 60 PDC An 5 dont 8 DC fast</t>
        </is>
      </c>
      <c r="C7" s="56" t="n">
        <v>35</v>
      </c>
      <c r="D7" s="56" t="n">
        <v>85</v>
      </c>
      <c r="E7" s="56" t="n">
        <v>170</v>
      </c>
      <c r="F7" s="56" t="n">
        <v>290</v>
      </c>
      <c r="G7" s="56" t="n">
        <v>430</v>
      </c>
      <c r="H7" s="5" t="inlineStr">
        <is>
          <t>10%</t>
        </is>
      </c>
    </row>
    <row r="8">
      <c r="A8" s="57" t="inlineStr">
        <is>
          <t>Optimiste</t>
        </is>
      </c>
      <c r="B8" s="58" t="inlineStr">
        <is>
          <t>Antilles An 5 + sponsoring + DC fast accelere</t>
        </is>
      </c>
      <c r="C8" s="59" t="n">
        <v>50</v>
      </c>
      <c r="D8" s="59" t="n">
        <v>120</v>
      </c>
      <c r="E8" s="59" t="n">
        <v>240</v>
      </c>
      <c r="F8" s="59" t="n">
        <v>430</v>
      </c>
      <c r="G8" s="59" t="n">
        <v>680</v>
      </c>
      <c r="H8" s="60" t="inlineStr">
        <is>
          <t>22%</t>
        </is>
      </c>
    </row>
    <row r="10">
      <c r="A10" s="61" t="inlineStr">
        <is>
          <t>EBITDA (k EUR)</t>
        </is>
      </c>
    </row>
    <row r="11">
      <c r="A11" s="50" t="inlineStr">
        <is>
          <t>Pessimiste</t>
        </is>
      </c>
      <c r="B11" s="51" t="inlineStr">
        <is>
          <t>EBITDA fragile, sortie An 8</t>
        </is>
      </c>
      <c r="C11" s="62" t="n">
        <v>-195</v>
      </c>
      <c r="D11" s="62" t="n">
        <v>-180</v>
      </c>
      <c r="E11" s="62" t="n">
        <v>-160</v>
      </c>
      <c r="F11" s="62" t="n">
        <v>-135</v>
      </c>
      <c r="G11" s="62" t="n">
        <v>-75</v>
      </c>
      <c r="H11" s="53" t="inlineStr">
        <is>
          <t>2%</t>
        </is>
      </c>
    </row>
    <row r="12">
      <c r="A12" s="54" t="inlineStr">
        <is>
          <t>Median</t>
        </is>
      </c>
      <c r="B12" s="55" t="inlineStr">
        <is>
          <t>EBITDA equilibre An 5, sortie An 7-8</t>
        </is>
      </c>
      <c r="C12" s="63" t="n">
        <v>-185</v>
      </c>
      <c r="D12" s="63" t="n">
        <v>-155</v>
      </c>
      <c r="E12" s="63" t="n">
        <v>-100</v>
      </c>
      <c r="F12" s="63" t="n">
        <v>-20</v>
      </c>
      <c r="G12" s="64" t="n">
        <v>90</v>
      </c>
      <c r="H12" s="5" t="inlineStr">
        <is>
          <t>10%</t>
        </is>
      </c>
    </row>
    <row r="13">
      <c r="A13" s="57" t="inlineStr">
        <is>
          <t>Optimiste</t>
        </is>
      </c>
      <c r="B13" s="58" t="inlineStr">
        <is>
          <t>EBITDA fort (DC fast + Antilles)</t>
        </is>
      </c>
      <c r="C13" s="65" t="n">
        <v>-170</v>
      </c>
      <c r="D13" s="65" t="n">
        <v>-100</v>
      </c>
      <c r="E13" s="66" t="n">
        <v>0</v>
      </c>
      <c r="F13" s="66" t="n">
        <v>100</v>
      </c>
      <c r="G13" s="66" t="n">
        <v>240</v>
      </c>
      <c r="H13" s="60" t="inlineStr">
        <is>
          <t>22%</t>
        </is>
      </c>
    </row>
    <row r="16">
      <c r="A16" s="67" t="inlineStr">
        <is>
          <t>DETAIL DES HYPOTHESES PAR SCENARIO</t>
        </is>
      </c>
    </row>
    <row r="17">
      <c r="A17" s="15" t="inlineStr">
        <is>
          <t>Hypothese</t>
        </is>
      </c>
      <c r="B17" s="6" t="n"/>
      <c r="C17" s="15" t="inlineStr">
        <is>
          <t>Median</t>
        </is>
      </c>
      <c r="D17" s="15" t="inlineStr">
        <is>
          <t>Optimiste</t>
        </is>
      </c>
    </row>
    <row r="18">
      <c r="A18" s="9" t="inlineStr">
        <is>
          <t>Plan deploiement PDC</t>
        </is>
      </c>
      <c r="B18" s="6" t="n"/>
      <c r="C18" s="68" t="inlineStr">
        <is>
          <t>50 PDC An 5</t>
        </is>
      </c>
      <c r="D18" s="54" t="inlineStr">
        <is>
          <t>60 PDC An 5</t>
        </is>
      </c>
      <c r="E18" s="69" t="inlineStr">
        <is>
          <t>70 PDC An 5</t>
        </is>
      </c>
    </row>
    <row r="19">
      <c r="A19" s="9" t="inlineStr">
        <is>
          <t>Stations DC fast An 5</t>
        </is>
      </c>
      <c r="B19" s="6" t="n"/>
      <c r="C19" s="68" t="inlineStr">
        <is>
          <t>0</t>
        </is>
      </c>
      <c r="D19" s="54" t="inlineStr">
        <is>
          <t>8 PDC (4 stations)</t>
        </is>
      </c>
      <c r="E19" s="69" t="inlineStr">
        <is>
          <t>12 PDC (6 stations)</t>
        </is>
      </c>
    </row>
    <row r="20">
      <c r="A20" s="9" t="inlineStr">
        <is>
          <t>Adoption VE en Guyane</t>
        </is>
      </c>
      <c r="B20" s="6" t="n"/>
      <c r="C20" s="68" t="inlineStr">
        <is>
          <t>+20% an</t>
        </is>
      </c>
      <c r="D20" s="54" t="inlineStr">
        <is>
          <t>+35% an</t>
        </is>
      </c>
      <c r="E20" s="69" t="inlineStr">
        <is>
          <t>+50% an</t>
        </is>
      </c>
    </row>
    <row r="21">
      <c r="A21" s="9" t="inlineStr">
        <is>
          <t>Date premiere mise en service</t>
        </is>
      </c>
      <c r="B21" s="6" t="n"/>
      <c r="C21" s="68" t="inlineStr">
        <is>
          <t>T+9 mois</t>
        </is>
      </c>
      <c r="D21" s="54" t="inlineStr">
        <is>
          <t>T+5 mois</t>
        </is>
      </c>
      <c r="E21" s="69" t="inlineStr">
        <is>
          <t>T+5 mois</t>
        </is>
      </c>
    </row>
    <row r="22">
      <c r="A22" s="9" t="inlineStr">
        <is>
          <t>Cout materiel/borne moyen</t>
        </is>
      </c>
      <c r="B22" s="6" t="n"/>
      <c r="C22" s="68" t="inlineStr">
        <is>
          <t>+15%</t>
        </is>
      </c>
      <c r="D22" s="54" t="inlineStr">
        <is>
          <t>Devis E-TOTEM</t>
        </is>
      </c>
      <c r="E22" s="69" t="inlineStr">
        <is>
          <t>-5%</t>
        </is>
      </c>
    </row>
    <row r="23">
      <c r="A23" s="9" t="inlineStr">
        <is>
          <t>Nombre de contrats LOA An 1</t>
        </is>
      </c>
      <c r="B23" s="6" t="n"/>
      <c r="C23" s="68" t="inlineStr">
        <is>
          <t>0</t>
        </is>
      </c>
      <c r="D23" s="54" t="inlineStr">
        <is>
          <t>0 (T+12)</t>
        </is>
      </c>
      <c r="E23" s="69" t="inlineStr">
        <is>
          <t>5</t>
        </is>
      </c>
    </row>
    <row r="24">
      <c r="A24" s="9" t="inlineStr">
        <is>
          <t>Sponsoring publicitaire An 5</t>
        </is>
      </c>
      <c r="B24" s="6" t="n"/>
      <c r="C24" s="68" t="inlineStr">
        <is>
          <t>10 k€/an</t>
        </is>
      </c>
      <c r="D24" s="54" t="inlineStr">
        <is>
          <t>40 k€/an</t>
        </is>
      </c>
      <c r="E24" s="69" t="inlineStr">
        <is>
          <t>100 k€/an</t>
        </is>
      </c>
    </row>
    <row r="25">
      <c r="A25" s="9" t="inlineStr">
        <is>
          <t>Phase 2 Antilles</t>
        </is>
      </c>
      <c r="B25" s="6" t="n"/>
      <c r="C25" s="68" t="inlineStr">
        <is>
          <t>Annulee</t>
        </is>
      </c>
      <c r="D25" s="54" t="inlineStr">
        <is>
          <t>An 5 (etude)</t>
        </is>
      </c>
      <c r="E25" s="69" t="inlineStr">
        <is>
          <t>An 4 (10 PDC)</t>
        </is>
      </c>
    </row>
    <row r="26">
      <c r="A26" s="9" t="inlineStr">
        <is>
          <t>Couverture ADVENIR maintenue</t>
        </is>
      </c>
      <c r="B26" s="6" t="n"/>
      <c r="C26" s="68" t="inlineStr">
        <is>
          <t>70%</t>
        </is>
      </c>
      <c r="D26" s="54" t="inlineStr">
        <is>
          <t>75,2%</t>
        </is>
      </c>
      <c r="E26" s="69" t="inlineStr">
        <is>
          <t>75,2%</t>
        </is>
      </c>
    </row>
    <row r="27">
      <c r="A27" s="9" t="inlineStr">
        <is>
          <t>Levee Serie A (An 3, optionnelle)</t>
        </is>
      </c>
      <c r="B27" s="6" t="n"/>
      <c r="C27" s="68" t="inlineStr">
        <is>
          <t>Echec/repli</t>
        </is>
      </c>
      <c r="D27" s="54" t="inlineStr">
        <is>
          <t>200 k€</t>
        </is>
      </c>
      <c r="E27" s="69" t="inlineStr">
        <is>
          <t>500 k€</t>
        </is>
      </c>
    </row>
  </sheetData>
  <mergeCells count="16">
    <mergeCell ref="A1:H1"/>
    <mergeCell ref="A20:B20"/>
    <mergeCell ref="A21:B21"/>
    <mergeCell ref="A24:B24"/>
    <mergeCell ref="A26:B26"/>
    <mergeCell ref="A25:B25"/>
    <mergeCell ref="A19:B19"/>
    <mergeCell ref="A16:H16"/>
    <mergeCell ref="A2:H2"/>
    <mergeCell ref="A23:B23"/>
    <mergeCell ref="A10:H10"/>
    <mergeCell ref="A17:B17"/>
    <mergeCell ref="A5:H5"/>
    <mergeCell ref="A18:B18"/>
    <mergeCell ref="A27:B27"/>
    <mergeCell ref="A22: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D700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23" t="inlineStr">
        <is>
          <t>ANALYSE TIR INVESTISSEUR &amp; SCENARIOS DE SORTIE</t>
        </is>
      </c>
    </row>
    <row r="3" ht="22" customHeight="1">
      <c r="A3" s="3" t="inlineStr">
        <is>
          <t>PARAMETRES INVESTISSEUR (cellules bleues = modifiables)</t>
        </is>
      </c>
    </row>
    <row r="4">
      <c r="A4" s="4" t="inlineStr">
        <is>
          <t>Investissement initial (apport Seed)</t>
        </is>
      </c>
      <c r="B4" s="70" t="n">
        <v>300000</v>
      </c>
    </row>
    <row r="5">
      <c r="A5" s="4" t="inlineStr">
        <is>
          <t>% capital obtenu (post-money)</t>
        </is>
      </c>
      <c r="B5" s="71" t="n">
        <v>0.3</v>
      </c>
    </row>
    <row r="6">
      <c r="A6" s="4" t="inlineStr">
        <is>
          <t>Annee de sortie envisagee</t>
        </is>
      </c>
      <c r="B6" s="72" t="n">
        <v>7</v>
      </c>
    </row>
    <row r="7">
      <c r="A7" s="4" t="inlineStr">
        <is>
          <t>EBITDA de reference pour valorisation</t>
        </is>
      </c>
      <c r="B7" s="70" t="n">
        <v>250000</v>
      </c>
    </row>
    <row r="8">
      <c r="A8" s="4" t="inlineStr">
        <is>
          <t>Multiple cible cession industrielle</t>
        </is>
      </c>
      <c r="B8" s="73" t="n">
        <v>8</v>
      </c>
    </row>
    <row r="9">
      <c r="A9" s="4" t="inlineStr">
        <is>
          <t>Multiple cible fonds infra</t>
        </is>
      </c>
      <c r="B9" s="73" t="n">
        <v>10</v>
      </c>
    </row>
    <row r="11" ht="22" customHeight="1">
      <c r="A11" s="3" t="inlineStr">
        <is>
          <t>CALCUL TIR ET MULTIPLES</t>
        </is>
      </c>
    </row>
    <row r="12">
      <c r="A12" s="9" t="inlineStr">
        <is>
          <t>Valeur entreprise sortie (cession indus)</t>
        </is>
      </c>
      <c r="B12" s="74">
        <f>B7*B8</f>
        <v/>
      </c>
    </row>
    <row r="13">
      <c r="A13" s="9" t="inlineStr">
        <is>
          <t>Valeur cession a l'investisseur</t>
        </is>
      </c>
      <c r="B13" s="74">
        <f>B12*B5</f>
        <v/>
      </c>
    </row>
    <row r="14">
      <c r="A14" s="9" t="inlineStr">
        <is>
          <t>Multiple investisseur (cash on cash)</t>
        </is>
      </c>
      <c r="B14" s="75">
        <f>B13/B4</f>
        <v/>
      </c>
    </row>
    <row r="15">
      <c r="A15" s="9" t="inlineStr">
        <is>
          <t>Plus-value totale (en EUR)</t>
        </is>
      </c>
      <c r="B15" s="74">
        <f>B13-B4</f>
        <v/>
      </c>
    </row>
    <row r="16">
      <c r="A16" s="9" t="inlineStr">
        <is>
          <t>TIR sur N annees</t>
        </is>
      </c>
      <c r="B16" s="76">
        <f>(B13/B4)^(1/B6)-1</f>
        <v/>
      </c>
    </row>
    <row r="19" ht="22" customHeight="1">
      <c r="A19" s="3" t="inlineStr">
        <is>
          <t>TABLEAU DES SCENARIOS DE SORTIE</t>
        </is>
      </c>
    </row>
    <row r="20" ht="26" customHeight="1">
      <c r="A20" s="15" t="inlineStr">
        <is>
          <t>Scenario</t>
        </is>
      </c>
      <c r="B20" s="15" t="inlineStr">
        <is>
          <t>Annee sortie</t>
        </is>
      </c>
      <c r="C20" s="15" t="inlineStr">
        <is>
          <t>Acquereur type</t>
        </is>
      </c>
      <c r="D20" s="15" t="inlineStr">
        <is>
          <t>Prix cession</t>
        </is>
      </c>
      <c r="E20" s="15" t="inlineStr">
        <is>
          <t>Multiple invest.</t>
        </is>
      </c>
      <c r="F20" s="15" t="inlineStr">
        <is>
          <t>TIR investisseur</t>
        </is>
      </c>
    </row>
    <row r="21">
      <c r="A21" s="50" t="inlineStr">
        <is>
          <t>Pessimiste</t>
        </is>
      </c>
      <c r="B21" s="68" t="inlineStr">
        <is>
          <t>An 8</t>
        </is>
      </c>
      <c r="C21" s="51" t="inlineStr">
        <is>
          <t>Cession industrielle (x6 sur EBITDA 50k)</t>
        </is>
      </c>
      <c r="D21" s="77" t="n">
        <v>300000</v>
      </c>
      <c r="E21" s="78" t="n">
        <v>1</v>
      </c>
      <c r="F21" s="79" t="n">
        <v>-0</v>
      </c>
    </row>
    <row r="22">
      <c r="A22" s="50" t="inlineStr">
        <is>
          <t>Pessimiste</t>
        </is>
      </c>
      <c r="B22" s="68" t="inlineStr">
        <is>
          <t>An 8</t>
        </is>
      </c>
      <c r="C22" s="51" t="inlineStr">
        <is>
          <t>Buy-back fondateurs (apport seul restitue)</t>
        </is>
      </c>
      <c r="D22" s="77" t="n">
        <v>300000</v>
      </c>
      <c r="E22" s="78" t="n">
        <v>1</v>
      </c>
      <c r="F22" s="79" t="n">
        <v>-0</v>
      </c>
    </row>
    <row r="23">
      <c r="A23" s="54" t="inlineStr">
        <is>
          <t>Median</t>
        </is>
      </c>
      <c r="B23" s="80" t="inlineStr">
        <is>
          <t>An 7</t>
        </is>
      </c>
      <c r="C23" s="55" t="inlineStr">
        <is>
          <t>Cession industrielle (x8 sur EBITDA 200k)</t>
        </is>
      </c>
      <c r="D23" s="81" t="n">
        <v>1600000</v>
      </c>
      <c r="E23" s="82" t="n">
        <v>1.6</v>
      </c>
      <c r="F23" s="83" t="n">
        <v>0.07000000000000001</v>
      </c>
    </row>
    <row r="24">
      <c r="A24" s="54" t="inlineStr">
        <is>
          <t>Median</t>
        </is>
      </c>
      <c r="B24" s="80" t="inlineStr">
        <is>
          <t>An 7</t>
        </is>
      </c>
      <c r="C24" s="55" t="inlineStr">
        <is>
          <t>Cession a un fonds (x8 sur EBITDA 250k)</t>
        </is>
      </c>
      <c r="D24" s="81" t="n">
        <v>2000000</v>
      </c>
      <c r="E24" s="82" t="n">
        <v>2</v>
      </c>
      <c r="F24" s="83" t="n">
        <v>0.1</v>
      </c>
    </row>
    <row r="25">
      <c r="A25" s="54" t="inlineStr">
        <is>
          <t>Median</t>
        </is>
      </c>
      <c r="B25" s="80" t="inlineStr">
        <is>
          <t>An 8</t>
        </is>
      </c>
      <c r="C25" s="55" t="inlineStr">
        <is>
          <t>Cession industrielle (x8 sur EBITDA 350k)</t>
        </is>
      </c>
      <c r="D25" s="81" t="n">
        <v>2800000</v>
      </c>
      <c r="E25" s="82" t="n">
        <v>2.8</v>
      </c>
      <c r="F25" s="83" t="n">
        <v>0.14</v>
      </c>
    </row>
    <row r="26">
      <c r="A26" s="57" t="inlineStr">
        <is>
          <t>Optimiste</t>
        </is>
      </c>
      <c r="B26" s="69" t="inlineStr">
        <is>
          <t>An 7</t>
        </is>
      </c>
      <c r="C26" s="58" t="inlineStr">
        <is>
          <t>Cession industrielle (x10 sur EBITDA 350k)</t>
        </is>
      </c>
      <c r="D26" s="84" t="n">
        <v>3500000</v>
      </c>
      <c r="E26" s="85" t="n">
        <v>3.5</v>
      </c>
      <c r="F26" s="86" t="n">
        <v>0.2</v>
      </c>
    </row>
    <row r="27">
      <c r="A27" s="57" t="inlineStr">
        <is>
          <t>Optimiste</t>
        </is>
      </c>
      <c r="B27" s="69" t="inlineStr">
        <is>
          <t>An 7</t>
        </is>
      </c>
      <c r="C27" s="58" t="inlineStr">
        <is>
          <t>Fonds infra (x12 sur EBITDA 400k)</t>
        </is>
      </c>
      <c r="D27" s="84" t="n">
        <v>4800000</v>
      </c>
      <c r="E27" s="85" t="n">
        <v>4.8</v>
      </c>
      <c r="F27" s="86" t="n">
        <v>0.25</v>
      </c>
    </row>
    <row r="28">
      <c r="A28" s="57" t="inlineStr">
        <is>
          <t>Optimiste+</t>
        </is>
      </c>
      <c r="B28" s="69" t="inlineStr">
        <is>
          <t>An 8</t>
        </is>
      </c>
      <c r="C28" s="58" t="inlineStr">
        <is>
          <t>Fonds infra (x12 sur EBITDA 600k)</t>
        </is>
      </c>
      <c r="D28" s="84" t="n">
        <v>7200000</v>
      </c>
      <c r="E28" s="85" t="n">
        <v>7.2</v>
      </c>
      <c r="F28" s="86" t="n">
        <v>0.28</v>
      </c>
    </row>
    <row r="31" ht="26" customHeight="1">
      <c r="A31" s="67" t="inlineStr">
        <is>
          <t>SYNTHESE — Plan SIMPLE : 20 PDC initial + 10/an = 60 PDC An 5 — Seed 300k — TIR 8-12% sur 7-8 ans</t>
        </is>
      </c>
    </row>
  </sheetData>
  <mergeCells count="5">
    <mergeCell ref="A3:H3"/>
    <mergeCell ref="A1:G1"/>
    <mergeCell ref="A31:F31"/>
    <mergeCell ref="A19:H19"/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2026-05-06T18:13:56Z</dcterms:created>
  <dcterms:modified xmlns:dcterms="http://purl.org/dc/terms/" xmlns:xsi="http://www.w3.org/2001/XMLSchema-instance" xsi:type="dcterms:W3CDTF">2026-05-06T18:13:56Z</dcterms:modified>
</cp:coreProperties>
</file>